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6" i="1"/>
  <c r="AK26" s="1"/>
  <c r="AZ8"/>
  <c r="AZ9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5"/>
  <c r="AZ6"/>
  <c r="AZ4"/>
  <c r="AJ6"/>
  <c r="AK6" s="1"/>
  <c r="AT5"/>
  <c r="AT6"/>
  <c r="AT8"/>
  <c r="AT9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4"/>
  <c r="AK8"/>
  <c r="AK11"/>
  <c r="AK16"/>
  <c r="AK27"/>
  <c r="AK29"/>
  <c r="AK31"/>
  <c r="AK4"/>
  <c r="AJ33"/>
  <c r="AK33" s="1"/>
  <c r="AJ5"/>
  <c r="AK5" s="1"/>
  <c r="AJ8"/>
  <c r="AJ9"/>
  <c r="AK9" s="1"/>
  <c r="AJ11"/>
  <c r="AJ12"/>
  <c r="AK12" s="1"/>
  <c r="AJ13"/>
  <c r="AK13" s="1"/>
  <c r="AJ14"/>
  <c r="AK14" s="1"/>
  <c r="AJ15"/>
  <c r="AK15" s="1"/>
  <c r="AJ16"/>
  <c r="AJ17"/>
  <c r="AK17" s="1"/>
  <c r="AJ18"/>
  <c r="AK18" s="1"/>
  <c r="AJ19"/>
  <c r="AK19" s="1"/>
  <c r="AJ20"/>
  <c r="AK20" s="1"/>
  <c r="AJ21"/>
  <c r="AK21" s="1"/>
  <c r="AJ22"/>
  <c r="AK22" s="1"/>
  <c r="AJ23"/>
  <c r="AK23" s="1"/>
  <c r="AJ24"/>
  <c r="AK24" s="1"/>
  <c r="AJ25"/>
  <c r="AK25" s="1"/>
  <c r="AJ27"/>
  <c r="AJ28"/>
  <c r="AK28" s="1"/>
  <c r="AJ29"/>
  <c r="AJ30"/>
  <c r="AK30" s="1"/>
  <c r="AJ31"/>
  <c r="AJ32"/>
  <c r="AK32" s="1"/>
  <c r="AJ4"/>
</calcChain>
</file>

<file path=xl/sharedStrings.xml><?xml version="1.0" encoding="utf-8"?>
<sst xmlns="http://schemas.openxmlformats.org/spreadsheetml/2006/main" count="210" uniqueCount="162">
  <si>
    <t>Java &amp; React - Project Evaluation Template</t>
  </si>
  <si>
    <t>**Project Demo Marks Allocation:
Not Done - 0 mark; 20% done - 1 mark; 40% done - 2 marks; 60 % done - 3 marks; 80% done - 4marks; 100 % done- - 5 marks</t>
  </si>
  <si>
    <t>Implementation of Good to have features</t>
  </si>
  <si>
    <t>*Viva Voce Marks Allocation: Poor - 1 mark; Fair - 2 marks; Good - 3 marks; Very Good - 4 marks; Excellent - 5 marks</t>
  </si>
  <si>
    <t>Candidate Details (To Be Filled By Co-Ordinator)</t>
  </si>
  <si>
    <t>Project Evaluation (To Be Filled By Evaluator)</t>
  </si>
  <si>
    <t>Evaluation of good to have features (To Be Filled By Evaluator)</t>
  </si>
  <si>
    <t>Technical Discussion ((To Be Filled By Evaluator)</t>
  </si>
  <si>
    <t>S. No.</t>
  </si>
  <si>
    <t>Superset ID</t>
  </si>
  <si>
    <t>Name</t>
  </si>
  <si>
    <t>Email ID</t>
  </si>
  <si>
    <t>College</t>
  </si>
  <si>
    <t>Trainer Name</t>
  </si>
  <si>
    <t>Project Name</t>
  </si>
  <si>
    <t>Functionality of the Application</t>
  </si>
  <si>
    <t>HTML5 and CSS3</t>
  </si>
  <si>
    <t>JavaScript or Typescript</t>
  </si>
  <si>
    <t>Bootstrap</t>
  </si>
  <si>
    <t>Components and Props, Event Handling</t>
  </si>
  <si>
    <t>Usage of  icons/REACT CSS/Internationization</t>
  </si>
  <si>
    <t>ES6</t>
  </si>
  <si>
    <t>Solution Structure - Java, Springboot</t>
  </si>
  <si>
    <t>Programming Language Java</t>
  </si>
  <si>
    <t>Spring Boot</t>
  </si>
  <si>
    <t>Spring Data JPA</t>
  </si>
  <si>
    <t>Maven Build</t>
  </si>
  <si>
    <t>REST API - HTTP GET/PUT/POST request method designators for the business methods which is to be exposed</t>
  </si>
  <si>
    <t>REST API - customized request and response formats</t>
  </si>
  <si>
    <t>REST API - RETURN CODES based on the service outcome</t>
  </si>
  <si>
    <t>API Versioning</t>
  </si>
  <si>
    <t>Authentication</t>
  </si>
  <si>
    <t>User Access Security Service</t>
  </si>
  <si>
    <t>Logging</t>
  </si>
  <si>
    <t>Swagger Usage</t>
  </si>
  <si>
    <t>Coding standards</t>
  </si>
  <si>
    <t>GIT Code Commit</t>
  </si>
  <si>
    <t>Unit Testing</t>
  </si>
  <si>
    <t>Project Final Score in %
(Autofilled)</t>
  </si>
  <si>
    <t>Status</t>
  </si>
  <si>
    <t xml:space="preserve">SonarQube report </t>
  </si>
  <si>
    <t xml:space="preserve">Moq framework </t>
  </si>
  <si>
    <t xml:space="preserve">Docker </t>
  </si>
  <si>
    <t>OAuth Security</t>
  </si>
  <si>
    <t>Deploy the docker image in AWS EC2 or Azure VM</t>
  </si>
  <si>
    <t>AWS/Azure CI/CD pipeline</t>
  </si>
  <si>
    <t>Use AWS RDS or Azure SQL DB to store the data</t>
  </si>
  <si>
    <t>Good to have features Final Score in %
(Autofilled)</t>
  </si>
  <si>
    <t>PLSQL</t>
  </si>
  <si>
    <t xml:space="preserve">Core Java </t>
  </si>
  <si>
    <t>Spring Boot and REST API</t>
  </si>
  <si>
    <t>Angular</t>
  </si>
  <si>
    <t>Amazon Web Services</t>
  </si>
  <si>
    <t>Technical Discussion Final Score in %
(Autofilled)</t>
  </si>
  <si>
    <t>Evaluator overall Comments/Feedback</t>
  </si>
  <si>
    <t>Prasanna Pappu</t>
  </si>
  <si>
    <t>AKSHAYAA M</t>
  </si>
  <si>
    <t>akshayaa.ct21@bitsathy.ac.in</t>
  </si>
  <si>
    <t>Balabhadra Nikhitha</t>
  </si>
  <si>
    <t>nikhithabalabhadra@gmail.com</t>
  </si>
  <si>
    <t>Indhuja M</t>
  </si>
  <si>
    <t>m.indhuja2010@gmail.com</t>
  </si>
  <si>
    <t>Keerthika R</t>
  </si>
  <si>
    <t>keerthika.r.2021.cse@ritchennai.edu.in</t>
  </si>
  <si>
    <t>Monisha J</t>
  </si>
  <si>
    <t>monisha.j.2021.ece@ritchennai.edu.in</t>
  </si>
  <si>
    <t>Rokhitha N</t>
  </si>
  <si>
    <t>rokhithabts@gmail.com</t>
  </si>
  <si>
    <t>Samruddhi Anil Tekade</t>
  </si>
  <si>
    <t>samruddhitekade01@gmail.com</t>
  </si>
  <si>
    <t>Sandhiya P</t>
  </si>
  <si>
    <t>sandhiya2116195@gmail.com</t>
  </si>
  <si>
    <t>SANTHANA SRI R</t>
  </si>
  <si>
    <t>santhanasri.se21@bitsathy.ac.in</t>
  </si>
  <si>
    <t>Sefika M</t>
  </si>
  <si>
    <t>sefika.m.2021.cse@ritchennai.edu.in</t>
  </si>
  <si>
    <t>SRI SUBIKSHA T</t>
  </si>
  <si>
    <t>srisubikshats@gmail.com</t>
  </si>
  <si>
    <t>Sudharsana</t>
  </si>
  <si>
    <t>21uit014@kamarajengg.edu.in</t>
  </si>
  <si>
    <t>Sushmitha S</t>
  </si>
  <si>
    <t>sushmitha102003@gmail.com</t>
  </si>
  <si>
    <t>TANUSHRI A.D</t>
  </si>
  <si>
    <t>cseskct242tanushri.a.d@gmail.com</t>
  </si>
  <si>
    <t>Varsha Ankush Sangolkar</t>
  </si>
  <si>
    <t>sangolkarvarsha55@gmail.com</t>
  </si>
  <si>
    <t>Vitharshanaasree K</t>
  </si>
  <si>
    <t>vitharshanaasree.k2021ecec@sece.ac.in</t>
  </si>
  <si>
    <t>YUVASRI RAVIKUMAR</t>
  </si>
  <si>
    <t>21102175@rmd.ac.in</t>
  </si>
  <si>
    <t>Aayush Anuj Tripathi</t>
  </si>
  <si>
    <t>aayushtripathi48@gmail.com</t>
  </si>
  <si>
    <t>Ajay Kumar S B</t>
  </si>
  <si>
    <t>ajayvcetz@gmail.com</t>
  </si>
  <si>
    <t>Amal Sivan</t>
  </si>
  <si>
    <t>amalsivan1753@gmail.com</t>
  </si>
  <si>
    <t>Balasubramani T</t>
  </si>
  <si>
    <t>balasubramanit14@gmail.com</t>
  </si>
  <si>
    <t>HEMANTH BALA B</t>
  </si>
  <si>
    <t>hemanthbala13@gmail.com</t>
  </si>
  <si>
    <t>Kavin Kumar K</t>
  </si>
  <si>
    <t>727821tuit049@skct.edu.in</t>
  </si>
  <si>
    <t>Nikhil Singh</t>
  </si>
  <si>
    <t>singhnikhil.connect@gmail.com</t>
  </si>
  <si>
    <t>RISHABARAJAN C</t>
  </si>
  <si>
    <t>rishimoni136@gmail.com</t>
  </si>
  <si>
    <t>Sivasuriya Murugavel</t>
  </si>
  <si>
    <t>sivasuriyaitskct@gmail.com</t>
  </si>
  <si>
    <t>Subitchan Kesavaraj</t>
  </si>
  <si>
    <t>subichan003@gmail.com</t>
  </si>
  <si>
    <t>Suryanarayanan G</t>
  </si>
  <si>
    <t>suryagovind0201@gmail.com</t>
  </si>
  <si>
    <t>THAWFEEK AHAMED M</t>
  </si>
  <si>
    <t>thawfeekahamed8@gmail.com</t>
  </si>
  <si>
    <t>Tinusaran S</t>
  </si>
  <si>
    <t>tinustark3310@gmail.com</t>
  </si>
  <si>
    <t>Ujjwal Devdatta Kulkarni</t>
  </si>
  <si>
    <t>ujjwalkulkarni6@gmail.com</t>
  </si>
  <si>
    <t xml:space="preserve">Angular File Structure </t>
  </si>
  <si>
    <t>Angular databinding, Router</t>
  </si>
  <si>
    <t>Angular forms</t>
  </si>
  <si>
    <t>Angular Module</t>
  </si>
  <si>
    <t>Angular - Validations</t>
  </si>
  <si>
    <t>Coz Heaven Hotel Booking</t>
  </si>
  <si>
    <t>All Funtionalities are working fine good job</t>
  </si>
  <si>
    <t>Good as implemented and explained nicely good work</t>
  </si>
  <si>
    <t>Amazecare Hospital Management</t>
  </si>
  <si>
    <t>Asset  Management</t>
  </si>
  <si>
    <t>Good in all aspects nice job</t>
  </si>
  <si>
    <t>Payroll Management System</t>
  </si>
  <si>
    <t>Good and Explained nicely JWT Done excellent</t>
  </si>
  <si>
    <t>Hotpot Online Food Delivery</t>
  </si>
  <si>
    <t>All Aspects she is good flow explained nicely</t>
  </si>
  <si>
    <t>Car Rental System</t>
  </si>
  <si>
    <t>Nicely Fragemented code and standards implemented nicely</t>
  </si>
  <si>
    <t>Maveric Bank</t>
  </si>
  <si>
    <t>Bank Project all functionalities are working fine</t>
  </si>
  <si>
    <t>All functionalities are working fine good job</t>
  </si>
  <si>
    <t>Hospital Management System</t>
  </si>
  <si>
    <t>Hospital JWT good and some part of coding standards to be followed</t>
  </si>
  <si>
    <t>Career Hub Job Portal</t>
  </si>
  <si>
    <t>Job portal project working fine</t>
  </si>
  <si>
    <t>Payroll project working fine…Good Job</t>
  </si>
  <si>
    <t>Bus Booking System</t>
  </si>
  <si>
    <t>Functionality ok but not that way expected…Not upto expectations</t>
  </si>
  <si>
    <t>Online Food Delivery</t>
  </si>
  <si>
    <t>Excellent Work Good Job</t>
  </si>
  <si>
    <t>Very Good in all aspects</t>
  </si>
  <si>
    <t>Ecommerce</t>
  </si>
  <si>
    <t>Ecommerce all functionalities are working fine</t>
  </si>
  <si>
    <t>BankProject Working Fine</t>
  </si>
  <si>
    <t>Hotel Management project all functioalities working fine…CSS to be improved</t>
  </si>
  <si>
    <t>Good in all aspects</t>
  </si>
  <si>
    <t>Good and innovative…Nice work</t>
  </si>
  <si>
    <t>Insurance Management</t>
  </si>
  <si>
    <t>Job portal fine but need to improve on testing part</t>
  </si>
  <si>
    <t>Good Work</t>
  </si>
  <si>
    <t>Fine work…</t>
  </si>
  <si>
    <t>Struggled but last completed</t>
  </si>
  <si>
    <t>Need to follow timelines</t>
  </si>
  <si>
    <t>Good timely completion and CSS to be focused</t>
  </si>
  <si>
    <t>Good and need to improve explanation skills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</si>
</sst>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  <font>
      <sz val="11"/>
      <color theme="1"/>
      <name val="Aptos"/>
      <family val="2"/>
    </font>
    <font>
      <sz val="9"/>
      <color theme="1"/>
      <name val="Calibri"/>
      <family val="2"/>
    </font>
    <font>
      <sz val="11"/>
      <color rgb="FFFF0000"/>
      <name val="Aptos"/>
      <family val="2"/>
    </font>
    <font>
      <sz val="9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top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</cellXfs>
  <cellStyles count="2">
    <cellStyle name="Excel Built-in Normal" xfId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4"/>
  <sheetViews>
    <sheetView tabSelected="1" topLeftCell="A4" workbookViewId="0">
      <selection activeCell="A19" sqref="A19"/>
    </sheetView>
  </sheetViews>
  <sheetFormatPr defaultRowHeight="14"/>
  <cols>
    <col min="2" max="2" width="9" bestFit="1" customWidth="1"/>
    <col min="3" max="3" width="21" bestFit="1" customWidth="1"/>
    <col min="4" max="4" width="32.83203125" bestFit="1" customWidth="1"/>
    <col min="5" max="5" width="8" bestFit="1" customWidth="1"/>
    <col min="6" max="6" width="16.1640625" bestFit="1" customWidth="1"/>
  </cols>
  <sheetData>
    <row r="1" spans="1:53" ht="23">
      <c r="A1" s="28" t="s">
        <v>0</v>
      </c>
      <c r="B1" s="28"/>
      <c r="C1" s="28"/>
      <c r="D1" s="28"/>
      <c r="E1" s="28"/>
      <c r="F1" s="28"/>
      <c r="G1" s="29" t="s">
        <v>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30"/>
      <c r="AK1" s="31"/>
      <c r="AL1" s="34" t="s">
        <v>2</v>
      </c>
      <c r="AM1" s="34"/>
      <c r="AN1" s="34"/>
      <c r="AO1" s="34"/>
      <c r="AP1" s="34"/>
      <c r="AQ1" s="34"/>
      <c r="AR1" s="34"/>
      <c r="AS1" s="34"/>
      <c r="AT1" s="35"/>
      <c r="AU1" s="36" t="s">
        <v>3</v>
      </c>
      <c r="AV1" s="36"/>
      <c r="AW1" s="36"/>
      <c r="AX1" s="36"/>
      <c r="AY1" s="36"/>
      <c r="AZ1" s="23"/>
      <c r="BA1" s="23"/>
    </row>
    <row r="2" spans="1:53">
      <c r="A2" s="24" t="s">
        <v>4</v>
      </c>
      <c r="B2" s="24"/>
      <c r="C2" s="24"/>
      <c r="D2" s="24"/>
      <c r="E2" s="24"/>
      <c r="F2" s="24"/>
      <c r="G2" s="25" t="s">
        <v>5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32"/>
      <c r="AK2" s="33"/>
      <c r="AL2" s="26" t="s">
        <v>6</v>
      </c>
      <c r="AM2" s="26"/>
      <c r="AN2" s="26"/>
      <c r="AO2" s="26"/>
      <c r="AP2" s="26"/>
      <c r="AQ2" s="26"/>
      <c r="AR2" s="26"/>
      <c r="AS2" s="26"/>
      <c r="AT2" s="35"/>
      <c r="AU2" s="27" t="s">
        <v>7</v>
      </c>
      <c r="AV2" s="27"/>
      <c r="AW2" s="27"/>
      <c r="AX2" s="27"/>
      <c r="AY2" s="27"/>
      <c r="AZ2" s="23"/>
      <c r="BA2" s="23"/>
    </row>
    <row r="3" spans="1:53" ht="94.5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118</v>
      </c>
      <c r="M3" s="2" t="s">
        <v>19</v>
      </c>
      <c r="N3" s="2" t="s">
        <v>119</v>
      </c>
      <c r="O3" s="2" t="s">
        <v>120</v>
      </c>
      <c r="P3" s="2" t="s">
        <v>121</v>
      </c>
      <c r="Q3" s="2" t="s">
        <v>20</v>
      </c>
      <c r="R3" s="2" t="s">
        <v>122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4" t="s">
        <v>39</v>
      </c>
      <c r="AL3" s="5" t="s">
        <v>40</v>
      </c>
      <c r="AM3" s="5" t="s">
        <v>41</v>
      </c>
      <c r="AN3" s="5" t="s">
        <v>42</v>
      </c>
      <c r="AO3" s="5" t="s">
        <v>43</v>
      </c>
      <c r="AP3" s="5" t="s">
        <v>33</v>
      </c>
      <c r="AQ3" s="5" t="s">
        <v>44</v>
      </c>
      <c r="AR3" s="5" t="s">
        <v>45</v>
      </c>
      <c r="AS3" s="5" t="s">
        <v>46</v>
      </c>
      <c r="AT3" s="3" t="s">
        <v>47</v>
      </c>
      <c r="AU3" s="6" t="s">
        <v>48</v>
      </c>
      <c r="AV3" s="6" t="s">
        <v>49</v>
      </c>
      <c r="AW3" s="6" t="s">
        <v>50</v>
      </c>
      <c r="AX3" s="6" t="s">
        <v>51</v>
      </c>
      <c r="AY3" s="6" t="s">
        <v>52</v>
      </c>
      <c r="AZ3" s="3" t="s">
        <v>53</v>
      </c>
      <c r="BA3" s="7" t="s">
        <v>54</v>
      </c>
    </row>
    <row r="4" spans="1:53">
      <c r="A4" s="8">
        <v>1</v>
      </c>
      <c r="B4" s="12">
        <v>5024517</v>
      </c>
      <c r="C4" s="12" t="s">
        <v>56</v>
      </c>
      <c r="D4" s="12" t="s">
        <v>57</v>
      </c>
      <c r="F4" s="8" t="s">
        <v>55</v>
      </c>
      <c r="G4" s="9" t="s">
        <v>123</v>
      </c>
      <c r="H4" s="10">
        <v>5</v>
      </c>
      <c r="I4" s="10">
        <v>4</v>
      </c>
      <c r="J4" s="10">
        <v>4</v>
      </c>
      <c r="K4" s="10">
        <v>4</v>
      </c>
      <c r="L4" s="10">
        <v>5</v>
      </c>
      <c r="M4" s="10">
        <v>4</v>
      </c>
      <c r="N4" s="10">
        <v>4</v>
      </c>
      <c r="O4" s="10">
        <v>5</v>
      </c>
      <c r="P4" s="10">
        <v>4</v>
      </c>
      <c r="Q4" s="10">
        <v>5</v>
      </c>
      <c r="R4" s="10">
        <v>4</v>
      </c>
      <c r="S4" s="10">
        <v>4</v>
      </c>
      <c r="T4" s="10">
        <v>5</v>
      </c>
      <c r="U4" s="10">
        <v>4</v>
      </c>
      <c r="V4" s="10">
        <v>5</v>
      </c>
      <c r="W4" s="10">
        <v>5</v>
      </c>
      <c r="X4" s="10">
        <v>5</v>
      </c>
      <c r="Y4" s="10">
        <v>4</v>
      </c>
      <c r="Z4" s="10">
        <v>4</v>
      </c>
      <c r="AA4" s="10">
        <v>5</v>
      </c>
      <c r="AB4" s="10">
        <v>4</v>
      </c>
      <c r="AC4" s="10">
        <v>5</v>
      </c>
      <c r="AD4" s="10">
        <v>5</v>
      </c>
      <c r="AE4" s="10">
        <v>4</v>
      </c>
      <c r="AF4" s="10">
        <v>4</v>
      </c>
      <c r="AG4" s="10">
        <v>4</v>
      </c>
      <c r="AH4" s="10">
        <v>5</v>
      </c>
      <c r="AI4" s="10">
        <v>4</v>
      </c>
      <c r="AJ4" s="10">
        <f>AVERAGE(H4:AH4) * 20</f>
        <v>88.888888888888886</v>
      </c>
      <c r="AK4" s="8" t="str">
        <f>IF(AJ4 &gt;=75,"CLEARED","NOT CLEARED")</f>
        <v>CLEARED</v>
      </c>
      <c r="AL4" s="10">
        <v>4</v>
      </c>
      <c r="AM4" s="10">
        <v>5</v>
      </c>
      <c r="AN4" s="10">
        <v>4</v>
      </c>
      <c r="AO4" s="10">
        <v>4</v>
      </c>
      <c r="AP4" s="10">
        <v>5</v>
      </c>
      <c r="AQ4" s="10">
        <v>4</v>
      </c>
      <c r="AR4" s="10">
        <v>5</v>
      </c>
      <c r="AS4" s="10">
        <v>4</v>
      </c>
      <c r="AT4" s="10">
        <f>AVERAGE(AL4:AR4)*20</f>
        <v>88.571428571428584</v>
      </c>
      <c r="AU4" s="10">
        <v>4</v>
      </c>
      <c r="AV4" s="10">
        <v>5</v>
      </c>
      <c r="AW4" s="10">
        <v>4</v>
      </c>
      <c r="AX4" s="10">
        <v>4</v>
      </c>
      <c r="AY4" s="10">
        <v>4</v>
      </c>
      <c r="AZ4" s="10">
        <f>AVERAGE(AU4:AY4) * 20</f>
        <v>84</v>
      </c>
      <c r="BA4" s="11" t="s">
        <v>124</v>
      </c>
    </row>
    <row r="5" spans="1:53">
      <c r="A5" s="8">
        <v>2</v>
      </c>
      <c r="B5" s="12">
        <v>5218309</v>
      </c>
      <c r="C5" s="12" t="s">
        <v>58</v>
      </c>
      <c r="D5" s="12" t="s">
        <v>59</v>
      </c>
      <c r="E5" s="9"/>
      <c r="F5" s="8" t="s">
        <v>55</v>
      </c>
      <c r="G5" s="8" t="s">
        <v>126</v>
      </c>
      <c r="H5" s="10">
        <v>5</v>
      </c>
      <c r="I5" s="10">
        <v>5</v>
      </c>
      <c r="J5" s="10">
        <v>4</v>
      </c>
      <c r="K5" s="10">
        <v>4</v>
      </c>
      <c r="L5" s="10">
        <v>4</v>
      </c>
      <c r="M5" s="10">
        <v>4</v>
      </c>
      <c r="N5" s="10">
        <v>4</v>
      </c>
      <c r="O5" s="10">
        <v>5</v>
      </c>
      <c r="P5" s="10">
        <v>4</v>
      </c>
      <c r="Q5" s="10">
        <v>4</v>
      </c>
      <c r="R5" s="10">
        <v>4</v>
      </c>
      <c r="S5" s="10">
        <v>4</v>
      </c>
      <c r="T5" s="10">
        <v>5</v>
      </c>
      <c r="U5" s="10">
        <v>5</v>
      </c>
      <c r="V5" s="10">
        <v>5</v>
      </c>
      <c r="W5" s="10">
        <v>5</v>
      </c>
      <c r="X5" s="10">
        <v>4</v>
      </c>
      <c r="Y5" s="10">
        <v>4</v>
      </c>
      <c r="Z5" s="10">
        <v>4</v>
      </c>
      <c r="AA5" s="10">
        <v>5</v>
      </c>
      <c r="AB5" s="10">
        <v>5</v>
      </c>
      <c r="AC5" s="10">
        <v>5</v>
      </c>
      <c r="AD5" s="10">
        <v>5</v>
      </c>
      <c r="AE5" s="10">
        <v>4</v>
      </c>
      <c r="AF5" s="10">
        <v>4</v>
      </c>
      <c r="AG5" s="10">
        <v>5</v>
      </c>
      <c r="AH5" s="10">
        <v>5</v>
      </c>
      <c r="AI5" s="10">
        <v>4</v>
      </c>
      <c r="AJ5" s="10">
        <f t="shared" ref="AJ5:AJ33" si="0">AVERAGE(H5:AH5) * 20</f>
        <v>89.629629629629633</v>
      </c>
      <c r="AK5" s="8" t="str">
        <f t="shared" ref="AK5:AK33" si="1">IF(AJ5 &gt;=75,"CLEARED","NOT CLEARED")</f>
        <v>CLEARED</v>
      </c>
      <c r="AL5" s="10">
        <v>4</v>
      </c>
      <c r="AM5" s="10">
        <v>4</v>
      </c>
      <c r="AN5" s="10">
        <v>4</v>
      </c>
      <c r="AO5" s="10">
        <v>5</v>
      </c>
      <c r="AP5" s="10">
        <v>5</v>
      </c>
      <c r="AQ5" s="10">
        <v>5</v>
      </c>
      <c r="AR5" s="10">
        <v>5</v>
      </c>
      <c r="AS5" s="10">
        <v>5</v>
      </c>
      <c r="AT5" s="10">
        <f t="shared" ref="AT5:AT33" si="2">AVERAGE(AL5:AR5)*20</f>
        <v>91.428571428571416</v>
      </c>
      <c r="AU5" s="10">
        <v>5</v>
      </c>
      <c r="AV5" s="10">
        <v>5</v>
      </c>
      <c r="AW5" s="10">
        <v>4</v>
      </c>
      <c r="AX5" s="10">
        <v>4</v>
      </c>
      <c r="AY5" s="10">
        <v>4</v>
      </c>
      <c r="AZ5" s="10">
        <f t="shared" ref="AZ5:AZ34" si="3">AVERAGE(AU5:AY5) * 20</f>
        <v>88</v>
      </c>
      <c r="BA5" s="11" t="s">
        <v>125</v>
      </c>
    </row>
    <row r="6" spans="1:53">
      <c r="A6" s="8">
        <v>3</v>
      </c>
      <c r="B6" s="12">
        <v>5300476</v>
      </c>
      <c r="C6" s="12" t="s">
        <v>60</v>
      </c>
      <c r="D6" s="12" t="s">
        <v>61</v>
      </c>
      <c r="E6" s="9"/>
      <c r="F6" s="8" t="s">
        <v>55</v>
      </c>
      <c r="G6" s="8" t="s">
        <v>127</v>
      </c>
      <c r="H6" s="10">
        <v>5</v>
      </c>
      <c r="I6" s="10">
        <v>4</v>
      </c>
      <c r="J6" s="10">
        <v>4</v>
      </c>
      <c r="K6" s="10">
        <v>4</v>
      </c>
      <c r="L6" s="10">
        <v>5</v>
      </c>
      <c r="M6" s="10">
        <v>4</v>
      </c>
      <c r="N6" s="10">
        <v>4</v>
      </c>
      <c r="O6" s="10">
        <v>5</v>
      </c>
      <c r="P6" s="10">
        <v>4</v>
      </c>
      <c r="Q6" s="10">
        <v>5</v>
      </c>
      <c r="R6" s="10">
        <v>4</v>
      </c>
      <c r="S6" s="10">
        <v>4</v>
      </c>
      <c r="T6" s="10">
        <v>5</v>
      </c>
      <c r="U6" s="10">
        <v>4</v>
      </c>
      <c r="V6" s="10">
        <v>5</v>
      </c>
      <c r="W6" s="10">
        <v>5</v>
      </c>
      <c r="X6" s="10">
        <v>5</v>
      </c>
      <c r="Y6" s="10">
        <v>4</v>
      </c>
      <c r="Z6" s="10">
        <v>4</v>
      </c>
      <c r="AA6" s="10">
        <v>5</v>
      </c>
      <c r="AB6" s="10">
        <v>4</v>
      </c>
      <c r="AC6" s="10">
        <v>5</v>
      </c>
      <c r="AD6" s="10">
        <v>5</v>
      </c>
      <c r="AE6" s="10">
        <v>5</v>
      </c>
      <c r="AF6" s="10">
        <v>4</v>
      </c>
      <c r="AG6" s="10">
        <v>5</v>
      </c>
      <c r="AH6" s="10">
        <v>5</v>
      </c>
      <c r="AI6" s="10">
        <v>5</v>
      </c>
      <c r="AJ6" s="10">
        <f t="shared" si="0"/>
        <v>90.370370370370367</v>
      </c>
      <c r="AK6" s="8" t="str">
        <f t="shared" si="1"/>
        <v>CLEARED</v>
      </c>
      <c r="AL6" s="10">
        <v>4</v>
      </c>
      <c r="AM6" s="10">
        <v>5</v>
      </c>
      <c r="AN6" s="10">
        <v>4</v>
      </c>
      <c r="AO6" s="10">
        <v>4</v>
      </c>
      <c r="AP6" s="10">
        <v>4</v>
      </c>
      <c r="AQ6" s="10">
        <v>4</v>
      </c>
      <c r="AR6" s="10">
        <v>5</v>
      </c>
      <c r="AS6" s="10">
        <v>4</v>
      </c>
      <c r="AT6" s="10">
        <f t="shared" si="2"/>
        <v>85.714285714285708</v>
      </c>
      <c r="AU6" s="10">
        <v>5</v>
      </c>
      <c r="AV6" s="10">
        <v>4</v>
      </c>
      <c r="AW6" s="10">
        <v>5</v>
      </c>
      <c r="AX6" s="10">
        <v>5</v>
      </c>
      <c r="AY6" s="10">
        <v>4</v>
      </c>
      <c r="AZ6" s="10">
        <f t="shared" si="3"/>
        <v>92</v>
      </c>
      <c r="BA6" s="11" t="s">
        <v>128</v>
      </c>
    </row>
    <row r="7" spans="1:53">
      <c r="A7" s="19">
        <v>4</v>
      </c>
      <c r="B7" s="20">
        <v>5188330</v>
      </c>
      <c r="C7" s="20" t="s">
        <v>62</v>
      </c>
      <c r="D7" s="20" t="s">
        <v>63</v>
      </c>
      <c r="E7" s="21"/>
      <c r="F7" s="19" t="s">
        <v>55</v>
      </c>
      <c r="G7" s="1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22"/>
    </row>
    <row r="8" spans="1:53">
      <c r="A8" s="8">
        <v>5</v>
      </c>
      <c r="B8" s="12">
        <v>5191596</v>
      </c>
      <c r="C8" s="12" t="s">
        <v>64</v>
      </c>
      <c r="D8" s="12" t="s">
        <v>65</v>
      </c>
      <c r="E8" s="9"/>
      <c r="F8" s="8" t="s">
        <v>55</v>
      </c>
      <c r="G8" s="8" t="s">
        <v>140</v>
      </c>
      <c r="H8" s="10">
        <v>5</v>
      </c>
      <c r="I8" s="10">
        <v>4</v>
      </c>
      <c r="J8" s="10">
        <v>4</v>
      </c>
      <c r="K8" s="10">
        <v>4</v>
      </c>
      <c r="L8" s="10">
        <v>5</v>
      </c>
      <c r="M8" s="10">
        <v>4</v>
      </c>
      <c r="N8" s="10">
        <v>4</v>
      </c>
      <c r="O8" s="10">
        <v>5</v>
      </c>
      <c r="P8" s="10">
        <v>4</v>
      </c>
      <c r="Q8" s="10">
        <v>5</v>
      </c>
      <c r="R8" s="10">
        <v>4</v>
      </c>
      <c r="S8" s="10">
        <v>4</v>
      </c>
      <c r="T8" s="10">
        <v>5</v>
      </c>
      <c r="U8" s="10">
        <v>4</v>
      </c>
      <c r="V8" s="10">
        <v>5</v>
      </c>
      <c r="W8" s="10">
        <v>5</v>
      </c>
      <c r="X8" s="10">
        <v>5</v>
      </c>
      <c r="Y8" s="10">
        <v>4</v>
      </c>
      <c r="Z8" s="10">
        <v>4</v>
      </c>
      <c r="AA8" s="10">
        <v>5</v>
      </c>
      <c r="AB8" s="10">
        <v>4</v>
      </c>
      <c r="AC8" s="10">
        <v>5</v>
      </c>
      <c r="AD8" s="10">
        <v>5</v>
      </c>
      <c r="AE8" s="10">
        <v>4</v>
      </c>
      <c r="AF8" s="10">
        <v>4</v>
      </c>
      <c r="AG8" s="10">
        <v>4</v>
      </c>
      <c r="AH8" s="10">
        <v>5</v>
      </c>
      <c r="AI8" s="10">
        <v>4</v>
      </c>
      <c r="AJ8" s="10">
        <f t="shared" si="0"/>
        <v>88.888888888888886</v>
      </c>
      <c r="AK8" s="8" t="str">
        <f t="shared" si="1"/>
        <v>CLEARED</v>
      </c>
      <c r="AL8" s="10">
        <v>4</v>
      </c>
      <c r="AM8" s="10">
        <v>5</v>
      </c>
      <c r="AN8" s="10">
        <v>4</v>
      </c>
      <c r="AO8" s="10">
        <v>4</v>
      </c>
      <c r="AP8" s="10">
        <v>5</v>
      </c>
      <c r="AQ8" s="10">
        <v>4</v>
      </c>
      <c r="AR8" s="10">
        <v>5</v>
      </c>
      <c r="AS8" s="10">
        <v>4</v>
      </c>
      <c r="AT8" s="10">
        <f t="shared" si="2"/>
        <v>88.571428571428584</v>
      </c>
      <c r="AU8" s="10">
        <v>5</v>
      </c>
      <c r="AV8" s="10">
        <v>4</v>
      </c>
      <c r="AW8" s="10">
        <v>4</v>
      </c>
      <c r="AX8" s="10">
        <v>4</v>
      </c>
      <c r="AY8" s="10">
        <v>4</v>
      </c>
      <c r="AZ8" s="10">
        <f t="shared" si="3"/>
        <v>84</v>
      </c>
      <c r="BA8" s="11" t="s">
        <v>158</v>
      </c>
    </row>
    <row r="9" spans="1:53">
      <c r="A9" s="8">
        <v>6</v>
      </c>
      <c r="B9" s="12">
        <v>5291097</v>
      </c>
      <c r="C9" s="12" t="s">
        <v>66</v>
      </c>
      <c r="D9" s="12" t="s">
        <v>67</v>
      </c>
      <c r="E9" s="9"/>
      <c r="F9" s="8" t="s">
        <v>55</v>
      </c>
      <c r="G9" s="8" t="s">
        <v>129</v>
      </c>
      <c r="H9" s="10">
        <v>5</v>
      </c>
      <c r="I9" s="10">
        <v>4</v>
      </c>
      <c r="J9" s="10">
        <v>5</v>
      </c>
      <c r="K9" s="10">
        <v>5</v>
      </c>
      <c r="L9" s="10">
        <v>5</v>
      </c>
      <c r="M9" s="10">
        <v>4</v>
      </c>
      <c r="N9" s="10">
        <v>4</v>
      </c>
      <c r="O9" s="10">
        <v>5</v>
      </c>
      <c r="P9" s="10">
        <v>4</v>
      </c>
      <c r="Q9" s="10">
        <v>5</v>
      </c>
      <c r="R9" s="10">
        <v>4</v>
      </c>
      <c r="S9" s="10">
        <v>4</v>
      </c>
      <c r="T9" s="10">
        <v>5</v>
      </c>
      <c r="U9" s="10">
        <v>4</v>
      </c>
      <c r="V9" s="10">
        <v>5</v>
      </c>
      <c r="W9" s="10">
        <v>5</v>
      </c>
      <c r="X9" s="10">
        <v>5</v>
      </c>
      <c r="Y9" s="10">
        <v>4</v>
      </c>
      <c r="Z9" s="10">
        <v>4</v>
      </c>
      <c r="AA9" s="10">
        <v>5</v>
      </c>
      <c r="AB9" s="10">
        <v>4</v>
      </c>
      <c r="AC9" s="10">
        <v>5</v>
      </c>
      <c r="AD9" s="10">
        <v>5</v>
      </c>
      <c r="AE9" s="10">
        <v>4</v>
      </c>
      <c r="AF9" s="10">
        <v>4</v>
      </c>
      <c r="AG9" s="10">
        <v>4</v>
      </c>
      <c r="AH9" s="10">
        <v>4</v>
      </c>
      <c r="AI9" s="10">
        <v>4</v>
      </c>
      <c r="AJ9" s="10">
        <f t="shared" si="0"/>
        <v>89.629629629629633</v>
      </c>
      <c r="AK9" s="8" t="str">
        <f t="shared" si="1"/>
        <v>CLEARED</v>
      </c>
      <c r="AL9" s="10">
        <v>4</v>
      </c>
      <c r="AM9" s="10">
        <v>5</v>
      </c>
      <c r="AN9" s="10">
        <v>4</v>
      </c>
      <c r="AO9" s="10">
        <v>4</v>
      </c>
      <c r="AP9" s="10">
        <v>5</v>
      </c>
      <c r="AQ9" s="10">
        <v>5</v>
      </c>
      <c r="AR9" s="10">
        <v>5</v>
      </c>
      <c r="AS9" s="10">
        <v>5</v>
      </c>
      <c r="AT9" s="10">
        <f t="shared" si="2"/>
        <v>91.428571428571416</v>
      </c>
      <c r="AU9" s="10">
        <v>5</v>
      </c>
      <c r="AV9" s="10">
        <v>5</v>
      </c>
      <c r="AW9" s="10">
        <v>4</v>
      </c>
      <c r="AX9" s="10">
        <v>4</v>
      </c>
      <c r="AY9" s="10">
        <v>4</v>
      </c>
      <c r="AZ9" s="10">
        <f t="shared" si="3"/>
        <v>88</v>
      </c>
      <c r="BA9" s="11" t="s">
        <v>130</v>
      </c>
    </row>
    <row r="10" spans="1:53">
      <c r="A10" s="14">
        <v>7</v>
      </c>
      <c r="B10" s="15">
        <v>5290615</v>
      </c>
      <c r="C10" s="15" t="s">
        <v>68</v>
      </c>
      <c r="D10" s="15" t="s">
        <v>69</v>
      </c>
      <c r="E10" s="16"/>
      <c r="F10" s="14" t="s">
        <v>55</v>
      </c>
      <c r="G10" s="1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8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8"/>
    </row>
    <row r="11" spans="1:53">
      <c r="A11" s="8">
        <v>8</v>
      </c>
      <c r="B11" s="12">
        <v>5443230</v>
      </c>
      <c r="C11" s="12" t="s">
        <v>70</v>
      </c>
      <c r="D11" s="12" t="s">
        <v>71</v>
      </c>
      <c r="E11" s="9"/>
      <c r="F11" s="8" t="s">
        <v>55</v>
      </c>
      <c r="G11" s="8" t="s">
        <v>131</v>
      </c>
      <c r="H11" s="10">
        <v>5</v>
      </c>
      <c r="I11" s="10">
        <v>4</v>
      </c>
      <c r="J11" s="10">
        <v>4</v>
      </c>
      <c r="K11" s="10">
        <v>4</v>
      </c>
      <c r="L11" s="10">
        <v>5</v>
      </c>
      <c r="M11" s="10">
        <v>4</v>
      </c>
      <c r="N11" s="10">
        <v>4</v>
      </c>
      <c r="O11" s="10">
        <v>5</v>
      </c>
      <c r="P11" s="10">
        <v>4</v>
      </c>
      <c r="Q11" s="10">
        <v>5</v>
      </c>
      <c r="R11" s="10">
        <v>4</v>
      </c>
      <c r="S11" s="10">
        <v>4</v>
      </c>
      <c r="T11" s="10">
        <v>5</v>
      </c>
      <c r="U11" s="10">
        <v>4</v>
      </c>
      <c r="V11" s="10">
        <v>5</v>
      </c>
      <c r="W11" s="10">
        <v>5</v>
      </c>
      <c r="X11" s="10">
        <v>5</v>
      </c>
      <c r="Y11" s="10">
        <v>4</v>
      </c>
      <c r="Z11" s="10">
        <v>4</v>
      </c>
      <c r="AA11" s="10">
        <v>5</v>
      </c>
      <c r="AB11" s="10">
        <v>4</v>
      </c>
      <c r="AC11" s="10">
        <v>5</v>
      </c>
      <c r="AD11" s="10">
        <v>5</v>
      </c>
      <c r="AE11" s="10">
        <v>4</v>
      </c>
      <c r="AF11" s="10">
        <v>4</v>
      </c>
      <c r="AG11" s="10">
        <v>4</v>
      </c>
      <c r="AH11" s="10">
        <v>5</v>
      </c>
      <c r="AI11" s="10">
        <v>4</v>
      </c>
      <c r="AJ11" s="10">
        <f t="shared" si="0"/>
        <v>88.888888888888886</v>
      </c>
      <c r="AK11" s="8" t="str">
        <f t="shared" si="1"/>
        <v>CLEARED</v>
      </c>
      <c r="AL11" s="10">
        <v>5</v>
      </c>
      <c r="AM11" s="10">
        <v>5</v>
      </c>
      <c r="AN11" s="10">
        <v>4</v>
      </c>
      <c r="AO11" s="10">
        <v>4</v>
      </c>
      <c r="AP11" s="10">
        <v>5</v>
      </c>
      <c r="AQ11" s="10">
        <v>4</v>
      </c>
      <c r="AR11" s="10">
        <v>5</v>
      </c>
      <c r="AS11" s="10">
        <v>4</v>
      </c>
      <c r="AT11" s="10">
        <f t="shared" si="2"/>
        <v>91.428571428571416</v>
      </c>
      <c r="AU11" s="10">
        <v>5</v>
      </c>
      <c r="AV11" s="10">
        <v>5</v>
      </c>
      <c r="AW11" s="10">
        <v>4</v>
      </c>
      <c r="AX11" s="10">
        <v>5</v>
      </c>
      <c r="AY11" s="10">
        <v>4</v>
      </c>
      <c r="AZ11" s="10">
        <f t="shared" si="3"/>
        <v>92</v>
      </c>
      <c r="BA11" s="11" t="s">
        <v>132</v>
      </c>
    </row>
    <row r="12" spans="1:53">
      <c r="A12" s="8">
        <v>9</v>
      </c>
      <c r="B12" s="12">
        <v>5008509</v>
      </c>
      <c r="C12" s="12" t="s">
        <v>72</v>
      </c>
      <c r="D12" s="12" t="s">
        <v>73</v>
      </c>
      <c r="E12" s="9"/>
      <c r="F12" s="8" t="s">
        <v>55</v>
      </c>
      <c r="G12" s="8" t="s">
        <v>133</v>
      </c>
      <c r="H12" s="10">
        <v>5</v>
      </c>
      <c r="I12" s="10">
        <v>4</v>
      </c>
      <c r="J12" s="10">
        <v>4</v>
      </c>
      <c r="K12" s="10">
        <v>4</v>
      </c>
      <c r="L12" s="10">
        <v>5</v>
      </c>
      <c r="M12" s="10">
        <v>4</v>
      </c>
      <c r="N12" s="10">
        <v>4</v>
      </c>
      <c r="O12" s="10">
        <v>5</v>
      </c>
      <c r="P12" s="10">
        <v>4</v>
      </c>
      <c r="Q12" s="10">
        <v>5</v>
      </c>
      <c r="R12" s="10">
        <v>4</v>
      </c>
      <c r="S12" s="10">
        <v>4</v>
      </c>
      <c r="T12" s="10">
        <v>5</v>
      </c>
      <c r="U12" s="10">
        <v>4</v>
      </c>
      <c r="V12" s="10">
        <v>5</v>
      </c>
      <c r="W12" s="10">
        <v>5</v>
      </c>
      <c r="X12" s="10">
        <v>5</v>
      </c>
      <c r="Y12" s="10">
        <v>4</v>
      </c>
      <c r="Z12" s="10">
        <v>5</v>
      </c>
      <c r="AA12" s="10">
        <v>5</v>
      </c>
      <c r="AB12" s="10">
        <v>4</v>
      </c>
      <c r="AC12" s="10">
        <v>5</v>
      </c>
      <c r="AD12" s="10">
        <v>5</v>
      </c>
      <c r="AE12" s="10">
        <v>4</v>
      </c>
      <c r="AF12" s="10">
        <v>4</v>
      </c>
      <c r="AG12" s="10">
        <v>5</v>
      </c>
      <c r="AH12" s="10">
        <v>5</v>
      </c>
      <c r="AI12" s="10">
        <v>5</v>
      </c>
      <c r="AJ12" s="10">
        <f t="shared" si="0"/>
        <v>90.370370370370367</v>
      </c>
      <c r="AK12" s="8" t="str">
        <f t="shared" si="1"/>
        <v>CLEARED</v>
      </c>
      <c r="AL12" s="10">
        <v>4</v>
      </c>
      <c r="AM12" s="10">
        <v>5</v>
      </c>
      <c r="AN12" s="10">
        <v>4</v>
      </c>
      <c r="AO12" s="10">
        <v>5</v>
      </c>
      <c r="AP12" s="10">
        <v>4</v>
      </c>
      <c r="AQ12" s="10">
        <v>4</v>
      </c>
      <c r="AR12" s="10">
        <v>4</v>
      </c>
      <c r="AS12" s="10">
        <v>4</v>
      </c>
      <c r="AT12" s="10">
        <f t="shared" si="2"/>
        <v>85.714285714285708</v>
      </c>
      <c r="AU12" s="10">
        <v>5</v>
      </c>
      <c r="AV12" s="10">
        <v>4</v>
      </c>
      <c r="AW12" s="10">
        <v>5</v>
      </c>
      <c r="AX12" s="10">
        <v>4</v>
      </c>
      <c r="AY12" s="10">
        <v>4</v>
      </c>
      <c r="AZ12" s="10">
        <f t="shared" si="3"/>
        <v>88</v>
      </c>
      <c r="BA12" s="11" t="s">
        <v>134</v>
      </c>
    </row>
    <row r="13" spans="1:53">
      <c r="A13" s="8">
        <v>10</v>
      </c>
      <c r="B13" s="12">
        <v>5188853</v>
      </c>
      <c r="C13" s="12" t="s">
        <v>74</v>
      </c>
      <c r="D13" s="12" t="s">
        <v>75</v>
      </c>
      <c r="E13" s="9"/>
      <c r="F13" s="8" t="s">
        <v>55</v>
      </c>
      <c r="G13" s="8" t="s">
        <v>148</v>
      </c>
      <c r="H13" s="10">
        <v>4</v>
      </c>
      <c r="I13" s="10">
        <v>4</v>
      </c>
      <c r="J13" s="10">
        <v>4</v>
      </c>
      <c r="K13" s="10">
        <v>4</v>
      </c>
      <c r="L13" s="10">
        <v>4</v>
      </c>
      <c r="M13" s="10">
        <v>4</v>
      </c>
      <c r="N13" s="10">
        <v>4</v>
      </c>
      <c r="O13" s="10">
        <v>4</v>
      </c>
      <c r="P13" s="10">
        <v>4</v>
      </c>
      <c r="Q13" s="10">
        <v>4</v>
      </c>
      <c r="R13" s="10">
        <v>4</v>
      </c>
      <c r="S13" s="10">
        <v>4</v>
      </c>
      <c r="T13" s="10">
        <v>4</v>
      </c>
      <c r="U13" s="10">
        <v>4</v>
      </c>
      <c r="V13" s="10">
        <v>4</v>
      </c>
      <c r="W13" s="10">
        <v>4</v>
      </c>
      <c r="X13" s="10">
        <v>4</v>
      </c>
      <c r="Y13" s="10">
        <v>4</v>
      </c>
      <c r="Z13" s="10">
        <v>4</v>
      </c>
      <c r="AA13" s="10">
        <v>4</v>
      </c>
      <c r="AB13" s="10">
        <v>4</v>
      </c>
      <c r="AC13" s="10">
        <v>4</v>
      </c>
      <c r="AD13" s="10">
        <v>5</v>
      </c>
      <c r="AE13" s="10">
        <v>4</v>
      </c>
      <c r="AF13" s="10">
        <v>4</v>
      </c>
      <c r="AG13" s="10">
        <v>4</v>
      </c>
      <c r="AH13" s="10">
        <v>4</v>
      </c>
      <c r="AI13" s="10">
        <v>4</v>
      </c>
      <c r="AJ13" s="10">
        <f t="shared" si="0"/>
        <v>80.740740740740748</v>
      </c>
      <c r="AK13" s="8" t="str">
        <f t="shared" si="1"/>
        <v>CLEARED</v>
      </c>
      <c r="AL13" s="10">
        <v>4</v>
      </c>
      <c r="AM13" s="10">
        <v>4</v>
      </c>
      <c r="AN13" s="10">
        <v>4</v>
      </c>
      <c r="AO13" s="10">
        <v>4</v>
      </c>
      <c r="AP13" s="10">
        <v>4</v>
      </c>
      <c r="AQ13" s="10">
        <v>4</v>
      </c>
      <c r="AR13" s="10">
        <v>4</v>
      </c>
      <c r="AS13" s="10">
        <v>4</v>
      </c>
      <c r="AT13" s="10">
        <f t="shared" si="2"/>
        <v>80</v>
      </c>
      <c r="AU13" s="10">
        <v>4</v>
      </c>
      <c r="AV13" s="10">
        <v>4</v>
      </c>
      <c r="AW13" s="10">
        <v>4</v>
      </c>
      <c r="AX13" s="10">
        <v>4</v>
      </c>
      <c r="AY13" s="10">
        <v>4</v>
      </c>
      <c r="AZ13" s="10">
        <f t="shared" si="3"/>
        <v>80</v>
      </c>
      <c r="BA13" s="11" t="s">
        <v>159</v>
      </c>
    </row>
    <row r="14" spans="1:53">
      <c r="A14" s="8">
        <v>11</v>
      </c>
      <c r="B14" s="12">
        <v>5182476</v>
      </c>
      <c r="C14" s="12" t="s">
        <v>76</v>
      </c>
      <c r="D14" s="12" t="s">
        <v>77</v>
      </c>
      <c r="E14" s="9"/>
      <c r="F14" s="8" t="s">
        <v>55</v>
      </c>
      <c r="G14" s="8" t="s">
        <v>135</v>
      </c>
      <c r="H14" s="10">
        <v>5</v>
      </c>
      <c r="I14" s="10">
        <v>4</v>
      </c>
      <c r="J14" s="10">
        <v>4</v>
      </c>
      <c r="K14" s="10">
        <v>4</v>
      </c>
      <c r="L14" s="10">
        <v>5</v>
      </c>
      <c r="M14" s="10">
        <v>4</v>
      </c>
      <c r="N14" s="10">
        <v>4</v>
      </c>
      <c r="O14" s="10">
        <v>5</v>
      </c>
      <c r="P14" s="10">
        <v>4</v>
      </c>
      <c r="Q14" s="10">
        <v>5</v>
      </c>
      <c r="R14" s="10">
        <v>4</v>
      </c>
      <c r="S14" s="10">
        <v>4</v>
      </c>
      <c r="T14" s="10">
        <v>5</v>
      </c>
      <c r="U14" s="10">
        <v>4</v>
      </c>
      <c r="V14" s="10">
        <v>5</v>
      </c>
      <c r="W14" s="10">
        <v>5</v>
      </c>
      <c r="X14" s="10">
        <v>5</v>
      </c>
      <c r="Y14" s="10">
        <v>4</v>
      </c>
      <c r="Z14" s="10">
        <v>4</v>
      </c>
      <c r="AA14" s="10">
        <v>5</v>
      </c>
      <c r="AB14" s="10">
        <v>4</v>
      </c>
      <c r="AC14" s="10">
        <v>5</v>
      </c>
      <c r="AD14" s="10">
        <v>5</v>
      </c>
      <c r="AE14" s="10">
        <v>4</v>
      </c>
      <c r="AF14" s="10">
        <v>4</v>
      </c>
      <c r="AG14" s="10">
        <v>5</v>
      </c>
      <c r="AH14" s="10">
        <v>5</v>
      </c>
      <c r="AI14" s="10">
        <v>4</v>
      </c>
      <c r="AJ14" s="10">
        <f t="shared" si="0"/>
        <v>89.629629629629633</v>
      </c>
      <c r="AK14" s="8" t="str">
        <f t="shared" si="1"/>
        <v>CLEARED</v>
      </c>
      <c r="AL14" s="10">
        <v>4</v>
      </c>
      <c r="AM14" s="10">
        <v>5</v>
      </c>
      <c r="AN14" s="10">
        <v>4</v>
      </c>
      <c r="AO14" s="10">
        <v>4</v>
      </c>
      <c r="AP14" s="10">
        <v>5</v>
      </c>
      <c r="AQ14" s="10">
        <v>4</v>
      </c>
      <c r="AR14" s="10">
        <v>5</v>
      </c>
      <c r="AS14" s="10">
        <v>4</v>
      </c>
      <c r="AT14" s="10">
        <f t="shared" si="2"/>
        <v>88.571428571428584</v>
      </c>
      <c r="AU14" s="10">
        <v>5</v>
      </c>
      <c r="AV14" s="10">
        <v>4</v>
      </c>
      <c r="AW14" s="10">
        <v>5</v>
      </c>
      <c r="AX14" s="10">
        <v>4</v>
      </c>
      <c r="AY14" s="10">
        <v>4</v>
      </c>
      <c r="AZ14" s="10">
        <f t="shared" si="3"/>
        <v>88</v>
      </c>
      <c r="BA14" s="11" t="s">
        <v>136</v>
      </c>
    </row>
    <row r="15" spans="1:53">
      <c r="A15" s="8">
        <v>12</v>
      </c>
      <c r="B15" s="12">
        <v>5275878</v>
      </c>
      <c r="C15" s="12" t="s">
        <v>78</v>
      </c>
      <c r="D15" s="12" t="s">
        <v>79</v>
      </c>
      <c r="E15" s="9"/>
      <c r="F15" s="8" t="s">
        <v>55</v>
      </c>
      <c r="G15" s="8" t="s">
        <v>123</v>
      </c>
      <c r="H15" s="10">
        <v>5</v>
      </c>
      <c r="I15" s="10">
        <v>5</v>
      </c>
      <c r="J15" s="10">
        <v>4</v>
      </c>
      <c r="K15" s="10">
        <v>4</v>
      </c>
      <c r="L15" s="10">
        <v>5</v>
      </c>
      <c r="M15" s="10">
        <v>4</v>
      </c>
      <c r="N15" s="10">
        <v>4</v>
      </c>
      <c r="O15" s="10">
        <v>5</v>
      </c>
      <c r="P15" s="10">
        <v>5</v>
      </c>
      <c r="Q15" s="10">
        <v>5</v>
      </c>
      <c r="R15" s="10">
        <v>4</v>
      </c>
      <c r="S15" s="10">
        <v>4</v>
      </c>
      <c r="T15" s="10">
        <v>5</v>
      </c>
      <c r="U15" s="10">
        <v>4</v>
      </c>
      <c r="V15" s="10">
        <v>5</v>
      </c>
      <c r="W15" s="10">
        <v>5</v>
      </c>
      <c r="X15" s="10">
        <v>5</v>
      </c>
      <c r="Y15" s="10">
        <v>4</v>
      </c>
      <c r="Z15" s="10">
        <v>4</v>
      </c>
      <c r="AA15" s="10">
        <v>5</v>
      </c>
      <c r="AB15" s="10">
        <v>4</v>
      </c>
      <c r="AC15" s="10">
        <v>5</v>
      </c>
      <c r="AD15" s="10">
        <v>5</v>
      </c>
      <c r="AE15" s="10">
        <v>4</v>
      </c>
      <c r="AF15" s="10">
        <v>5</v>
      </c>
      <c r="AG15" s="10">
        <v>5</v>
      </c>
      <c r="AH15" s="10">
        <v>5</v>
      </c>
      <c r="AI15" s="10">
        <v>4</v>
      </c>
      <c r="AJ15" s="10">
        <f t="shared" si="0"/>
        <v>91.851851851851848</v>
      </c>
      <c r="AK15" s="8" t="str">
        <f t="shared" si="1"/>
        <v>CLEARED</v>
      </c>
      <c r="AL15" s="10">
        <v>4</v>
      </c>
      <c r="AM15" s="10">
        <v>5</v>
      </c>
      <c r="AN15" s="10">
        <v>5</v>
      </c>
      <c r="AO15" s="10">
        <v>4</v>
      </c>
      <c r="AP15" s="10">
        <v>5</v>
      </c>
      <c r="AQ15" s="10">
        <v>4</v>
      </c>
      <c r="AR15" s="10">
        <v>5</v>
      </c>
      <c r="AS15" s="10">
        <v>4</v>
      </c>
      <c r="AT15" s="10">
        <f t="shared" si="2"/>
        <v>91.428571428571416</v>
      </c>
      <c r="AU15" s="10">
        <v>5</v>
      </c>
      <c r="AV15" s="10">
        <v>4</v>
      </c>
      <c r="AW15" s="10">
        <v>4</v>
      </c>
      <c r="AX15" s="10">
        <v>5</v>
      </c>
      <c r="AY15" s="10">
        <v>5</v>
      </c>
      <c r="AZ15" s="10">
        <f t="shared" si="3"/>
        <v>92</v>
      </c>
      <c r="BA15" s="11" t="s">
        <v>137</v>
      </c>
    </row>
    <row r="16" spans="1:53">
      <c r="A16" s="8">
        <v>13</v>
      </c>
      <c r="B16" s="12">
        <v>5314567</v>
      </c>
      <c r="C16" s="12" t="s">
        <v>80</v>
      </c>
      <c r="D16" s="12" t="s">
        <v>81</v>
      </c>
      <c r="E16" s="9"/>
      <c r="F16" s="8" t="s">
        <v>55</v>
      </c>
      <c r="G16" s="8" t="s">
        <v>138</v>
      </c>
      <c r="H16" s="10">
        <v>5</v>
      </c>
      <c r="I16" s="10">
        <v>4</v>
      </c>
      <c r="J16" s="10">
        <v>4</v>
      </c>
      <c r="K16" s="10">
        <v>4</v>
      </c>
      <c r="L16" s="10">
        <v>5</v>
      </c>
      <c r="M16" s="10">
        <v>4</v>
      </c>
      <c r="N16" s="10">
        <v>4</v>
      </c>
      <c r="O16" s="10">
        <v>5</v>
      </c>
      <c r="P16" s="10">
        <v>4</v>
      </c>
      <c r="Q16" s="10">
        <v>5</v>
      </c>
      <c r="R16" s="10">
        <v>4</v>
      </c>
      <c r="S16" s="10">
        <v>4</v>
      </c>
      <c r="T16" s="10">
        <v>5</v>
      </c>
      <c r="U16" s="10">
        <v>4</v>
      </c>
      <c r="V16" s="10">
        <v>5</v>
      </c>
      <c r="W16" s="10">
        <v>5</v>
      </c>
      <c r="X16" s="10">
        <v>5</v>
      </c>
      <c r="Y16" s="10">
        <v>4</v>
      </c>
      <c r="Z16" s="10">
        <v>4</v>
      </c>
      <c r="AA16" s="10">
        <v>5</v>
      </c>
      <c r="AB16" s="10">
        <v>4</v>
      </c>
      <c r="AC16" s="10">
        <v>5</v>
      </c>
      <c r="AD16" s="10">
        <v>5</v>
      </c>
      <c r="AE16" s="10">
        <v>4</v>
      </c>
      <c r="AF16" s="10">
        <v>4</v>
      </c>
      <c r="AG16" s="10">
        <v>4</v>
      </c>
      <c r="AH16" s="10">
        <v>5</v>
      </c>
      <c r="AI16" s="10">
        <v>4</v>
      </c>
      <c r="AJ16" s="10">
        <f t="shared" si="0"/>
        <v>88.888888888888886</v>
      </c>
      <c r="AK16" s="8" t="str">
        <f t="shared" si="1"/>
        <v>CLEARED</v>
      </c>
      <c r="AL16" s="10">
        <v>4</v>
      </c>
      <c r="AM16" s="10">
        <v>5</v>
      </c>
      <c r="AN16" s="10">
        <v>4</v>
      </c>
      <c r="AO16" s="10">
        <v>4</v>
      </c>
      <c r="AP16" s="10">
        <v>5</v>
      </c>
      <c r="AQ16" s="10">
        <v>4</v>
      </c>
      <c r="AR16" s="10">
        <v>5</v>
      </c>
      <c r="AS16" s="10">
        <v>4</v>
      </c>
      <c r="AT16" s="10">
        <f t="shared" si="2"/>
        <v>88.571428571428584</v>
      </c>
      <c r="AU16" s="10">
        <v>5</v>
      </c>
      <c r="AV16" s="10">
        <v>4</v>
      </c>
      <c r="AW16" s="10">
        <v>4</v>
      </c>
      <c r="AX16" s="10">
        <v>4</v>
      </c>
      <c r="AY16" s="10">
        <v>5</v>
      </c>
      <c r="AZ16" s="10">
        <f t="shared" si="3"/>
        <v>88</v>
      </c>
      <c r="BA16" s="11" t="s">
        <v>139</v>
      </c>
    </row>
    <row r="17" spans="1:53">
      <c r="A17" s="8">
        <v>14</v>
      </c>
      <c r="B17" s="12">
        <v>5187379</v>
      </c>
      <c r="C17" s="13" t="s">
        <v>82</v>
      </c>
      <c r="D17" s="12" t="s">
        <v>83</v>
      </c>
      <c r="E17" s="9"/>
      <c r="F17" s="8" t="s">
        <v>55</v>
      </c>
      <c r="G17" s="8" t="s">
        <v>127</v>
      </c>
      <c r="H17" s="10">
        <v>4</v>
      </c>
      <c r="I17" s="10">
        <v>4</v>
      </c>
      <c r="J17" s="10">
        <v>4</v>
      </c>
      <c r="K17" s="10">
        <v>4</v>
      </c>
      <c r="L17" s="10">
        <v>5</v>
      </c>
      <c r="M17" s="10">
        <v>4</v>
      </c>
      <c r="N17" s="10">
        <v>4</v>
      </c>
      <c r="O17" s="10">
        <v>5</v>
      </c>
      <c r="P17" s="10">
        <v>4</v>
      </c>
      <c r="Q17" s="10">
        <v>5</v>
      </c>
      <c r="R17" s="10">
        <v>4</v>
      </c>
      <c r="S17" s="10">
        <v>4</v>
      </c>
      <c r="T17" s="10">
        <v>4</v>
      </c>
      <c r="U17" s="10">
        <v>4</v>
      </c>
      <c r="V17" s="10">
        <v>5</v>
      </c>
      <c r="W17" s="10">
        <v>4</v>
      </c>
      <c r="X17" s="10">
        <v>5</v>
      </c>
      <c r="Y17" s="10">
        <v>4</v>
      </c>
      <c r="Z17" s="10">
        <v>4</v>
      </c>
      <c r="AA17" s="10">
        <v>4</v>
      </c>
      <c r="AB17" s="10">
        <v>4</v>
      </c>
      <c r="AC17" s="10">
        <v>5</v>
      </c>
      <c r="AD17" s="10">
        <v>5</v>
      </c>
      <c r="AE17" s="10">
        <v>4</v>
      </c>
      <c r="AF17" s="10">
        <v>4</v>
      </c>
      <c r="AG17" s="10">
        <v>4</v>
      </c>
      <c r="AH17" s="10">
        <v>5</v>
      </c>
      <c r="AI17" s="10">
        <v>4</v>
      </c>
      <c r="AJ17" s="10">
        <f t="shared" si="0"/>
        <v>85.925925925925938</v>
      </c>
      <c r="AK17" s="8" t="str">
        <f t="shared" si="1"/>
        <v>CLEARED</v>
      </c>
      <c r="AL17" s="10">
        <v>4</v>
      </c>
      <c r="AM17" s="10">
        <v>4</v>
      </c>
      <c r="AN17" s="10">
        <v>4</v>
      </c>
      <c r="AO17" s="10">
        <v>4</v>
      </c>
      <c r="AP17" s="10">
        <v>5</v>
      </c>
      <c r="AQ17" s="10">
        <v>4</v>
      </c>
      <c r="AR17" s="10">
        <v>4</v>
      </c>
      <c r="AS17" s="10">
        <v>4</v>
      </c>
      <c r="AT17" s="10">
        <f t="shared" si="2"/>
        <v>82.857142857142861</v>
      </c>
      <c r="AU17" s="10">
        <v>4</v>
      </c>
      <c r="AV17" s="10">
        <v>4</v>
      </c>
      <c r="AW17" s="10">
        <v>5</v>
      </c>
      <c r="AX17" s="10">
        <v>4</v>
      </c>
      <c r="AY17" s="10">
        <v>4</v>
      </c>
      <c r="AZ17" s="10">
        <f t="shared" si="3"/>
        <v>84</v>
      </c>
      <c r="BA17" s="11" t="s">
        <v>160</v>
      </c>
    </row>
    <row r="18" spans="1:53">
      <c r="A18" s="8">
        <v>15</v>
      </c>
      <c r="B18" s="12">
        <v>5358321</v>
      </c>
      <c r="C18" s="12" t="s">
        <v>84</v>
      </c>
      <c r="D18" s="12" t="s">
        <v>85</v>
      </c>
      <c r="E18" s="9"/>
      <c r="F18" s="8" t="s">
        <v>55</v>
      </c>
      <c r="G18" s="8" t="s">
        <v>154</v>
      </c>
      <c r="H18" s="10">
        <v>4</v>
      </c>
      <c r="I18" s="10">
        <v>4</v>
      </c>
      <c r="J18" s="10">
        <v>4</v>
      </c>
      <c r="K18" s="10">
        <v>4</v>
      </c>
      <c r="L18" s="10">
        <v>5</v>
      </c>
      <c r="M18" s="10">
        <v>4</v>
      </c>
      <c r="N18" s="10">
        <v>4</v>
      </c>
      <c r="O18" s="10">
        <v>4</v>
      </c>
      <c r="P18" s="10">
        <v>4</v>
      </c>
      <c r="Q18" s="10">
        <v>5</v>
      </c>
      <c r="R18" s="10">
        <v>4</v>
      </c>
      <c r="S18" s="10">
        <v>4</v>
      </c>
      <c r="T18" s="10">
        <v>4</v>
      </c>
      <c r="U18" s="10">
        <v>4</v>
      </c>
      <c r="V18" s="10">
        <v>5</v>
      </c>
      <c r="W18" s="10">
        <v>4</v>
      </c>
      <c r="X18" s="10">
        <v>4</v>
      </c>
      <c r="Y18" s="10">
        <v>4</v>
      </c>
      <c r="Z18" s="10">
        <v>4</v>
      </c>
      <c r="AA18" s="10">
        <v>5</v>
      </c>
      <c r="AB18" s="10">
        <v>4</v>
      </c>
      <c r="AC18" s="10">
        <v>5</v>
      </c>
      <c r="AD18" s="10">
        <v>5</v>
      </c>
      <c r="AE18" s="10">
        <v>4</v>
      </c>
      <c r="AF18" s="10">
        <v>4</v>
      </c>
      <c r="AG18" s="10">
        <v>4</v>
      </c>
      <c r="AH18" s="10">
        <v>5</v>
      </c>
      <c r="AI18" s="10">
        <v>4</v>
      </c>
      <c r="AJ18" s="10">
        <f t="shared" si="0"/>
        <v>85.18518518518519</v>
      </c>
      <c r="AK18" s="8" t="str">
        <f t="shared" si="1"/>
        <v>CLEARED</v>
      </c>
      <c r="AL18" s="10">
        <v>4</v>
      </c>
      <c r="AM18" s="10">
        <v>4</v>
      </c>
      <c r="AN18" s="10">
        <v>4</v>
      </c>
      <c r="AO18" s="10">
        <v>4</v>
      </c>
      <c r="AP18" s="10">
        <v>5</v>
      </c>
      <c r="AQ18" s="10">
        <v>4</v>
      </c>
      <c r="AR18" s="10">
        <v>4</v>
      </c>
      <c r="AS18" s="10">
        <v>4</v>
      </c>
      <c r="AT18" s="10">
        <f t="shared" si="2"/>
        <v>82.857142857142861</v>
      </c>
      <c r="AU18" s="10">
        <v>4</v>
      </c>
      <c r="AV18" s="10">
        <v>4</v>
      </c>
      <c r="AW18" s="10">
        <v>5</v>
      </c>
      <c r="AX18" s="10">
        <v>4</v>
      </c>
      <c r="AY18" s="10">
        <v>4</v>
      </c>
      <c r="AZ18" s="10">
        <f t="shared" si="3"/>
        <v>84</v>
      </c>
      <c r="BA18" s="11" t="s">
        <v>161</v>
      </c>
    </row>
    <row r="19" spans="1:53">
      <c r="A19" s="8">
        <v>16</v>
      </c>
      <c r="B19" s="12">
        <v>5451858</v>
      </c>
      <c r="C19" s="12" t="s">
        <v>86</v>
      </c>
      <c r="D19" s="12" t="s">
        <v>87</v>
      </c>
      <c r="E19" s="9"/>
      <c r="F19" s="8" t="s">
        <v>55</v>
      </c>
      <c r="G19" s="8" t="s">
        <v>140</v>
      </c>
      <c r="H19" s="10">
        <v>5</v>
      </c>
      <c r="I19" s="10">
        <v>4</v>
      </c>
      <c r="J19" s="10">
        <v>4</v>
      </c>
      <c r="K19" s="10">
        <v>4</v>
      </c>
      <c r="L19" s="10">
        <v>5</v>
      </c>
      <c r="M19" s="10">
        <v>4</v>
      </c>
      <c r="N19" s="10">
        <v>4</v>
      </c>
      <c r="O19" s="10">
        <v>5</v>
      </c>
      <c r="P19" s="10">
        <v>4</v>
      </c>
      <c r="Q19" s="10">
        <v>5</v>
      </c>
      <c r="R19" s="10">
        <v>4</v>
      </c>
      <c r="S19" s="10">
        <v>4</v>
      </c>
      <c r="T19" s="10">
        <v>5</v>
      </c>
      <c r="U19" s="10">
        <v>4</v>
      </c>
      <c r="V19" s="10">
        <v>5</v>
      </c>
      <c r="W19" s="10">
        <v>5</v>
      </c>
      <c r="X19" s="10">
        <v>5</v>
      </c>
      <c r="Y19" s="10">
        <v>4</v>
      </c>
      <c r="Z19" s="10">
        <v>4</v>
      </c>
      <c r="AA19" s="10">
        <v>5</v>
      </c>
      <c r="AB19" s="10">
        <v>4</v>
      </c>
      <c r="AC19" s="10">
        <v>5</v>
      </c>
      <c r="AD19" s="10">
        <v>5</v>
      </c>
      <c r="AE19" s="10">
        <v>4</v>
      </c>
      <c r="AF19" s="10">
        <v>4</v>
      </c>
      <c r="AG19" s="10">
        <v>4</v>
      </c>
      <c r="AH19" s="10">
        <v>4</v>
      </c>
      <c r="AI19" s="10">
        <v>4</v>
      </c>
      <c r="AJ19" s="10">
        <f t="shared" si="0"/>
        <v>88.148148148148152</v>
      </c>
      <c r="AK19" s="8" t="str">
        <f t="shared" si="1"/>
        <v>CLEARED</v>
      </c>
      <c r="AL19" s="10">
        <v>4</v>
      </c>
      <c r="AM19" s="10">
        <v>5</v>
      </c>
      <c r="AN19" s="10">
        <v>4</v>
      </c>
      <c r="AO19" s="10">
        <v>4</v>
      </c>
      <c r="AP19" s="10">
        <v>4</v>
      </c>
      <c r="AQ19" s="10">
        <v>4</v>
      </c>
      <c r="AR19" s="10">
        <v>4</v>
      </c>
      <c r="AS19" s="10">
        <v>4</v>
      </c>
      <c r="AT19" s="10">
        <f t="shared" si="2"/>
        <v>82.857142857142861</v>
      </c>
      <c r="AU19" s="10">
        <v>5</v>
      </c>
      <c r="AV19" s="10">
        <v>4</v>
      </c>
      <c r="AW19" s="10">
        <v>4</v>
      </c>
      <c r="AX19" s="10">
        <v>4</v>
      </c>
      <c r="AY19" s="10">
        <v>4</v>
      </c>
      <c r="AZ19" s="10">
        <f t="shared" si="3"/>
        <v>84</v>
      </c>
      <c r="BA19" s="11" t="s">
        <v>141</v>
      </c>
    </row>
    <row r="20" spans="1:53">
      <c r="A20" s="8">
        <v>17</v>
      </c>
      <c r="B20" s="12">
        <v>5368954</v>
      </c>
      <c r="C20" s="12" t="s">
        <v>88</v>
      </c>
      <c r="D20" s="12" t="s">
        <v>89</v>
      </c>
      <c r="E20" s="9"/>
      <c r="F20" s="8" t="s">
        <v>55</v>
      </c>
      <c r="G20" s="8" t="s">
        <v>129</v>
      </c>
      <c r="H20" s="10">
        <v>5</v>
      </c>
      <c r="I20" s="10">
        <v>4</v>
      </c>
      <c r="J20" s="10">
        <v>4</v>
      </c>
      <c r="K20" s="10">
        <v>4</v>
      </c>
      <c r="L20" s="10">
        <v>5</v>
      </c>
      <c r="M20" s="10">
        <v>4</v>
      </c>
      <c r="N20" s="10">
        <v>4</v>
      </c>
      <c r="O20" s="10">
        <v>5</v>
      </c>
      <c r="P20" s="10">
        <v>4</v>
      </c>
      <c r="Q20" s="10">
        <v>5</v>
      </c>
      <c r="R20" s="10">
        <v>4</v>
      </c>
      <c r="S20" s="10">
        <v>4</v>
      </c>
      <c r="T20" s="10">
        <v>5</v>
      </c>
      <c r="U20" s="10">
        <v>4</v>
      </c>
      <c r="V20" s="10">
        <v>5</v>
      </c>
      <c r="W20" s="10">
        <v>5</v>
      </c>
      <c r="X20" s="10">
        <v>5</v>
      </c>
      <c r="Y20" s="10">
        <v>4</v>
      </c>
      <c r="Z20" s="10">
        <v>4</v>
      </c>
      <c r="AA20" s="10">
        <v>5</v>
      </c>
      <c r="AB20" s="10">
        <v>4</v>
      </c>
      <c r="AC20" s="10">
        <v>5</v>
      </c>
      <c r="AD20" s="10">
        <v>4</v>
      </c>
      <c r="AE20" s="10">
        <v>4</v>
      </c>
      <c r="AF20" s="10">
        <v>4</v>
      </c>
      <c r="AG20" s="10">
        <v>4</v>
      </c>
      <c r="AH20" s="10">
        <v>4</v>
      </c>
      <c r="AI20" s="10">
        <v>4</v>
      </c>
      <c r="AJ20" s="10">
        <f t="shared" si="0"/>
        <v>87.407407407407405</v>
      </c>
      <c r="AK20" s="8" t="str">
        <f t="shared" si="1"/>
        <v>CLEARED</v>
      </c>
      <c r="AL20" s="10">
        <v>4</v>
      </c>
      <c r="AM20" s="10">
        <v>4</v>
      </c>
      <c r="AN20" s="10">
        <v>4</v>
      </c>
      <c r="AO20" s="10">
        <v>4</v>
      </c>
      <c r="AP20" s="10">
        <v>5</v>
      </c>
      <c r="AQ20" s="10">
        <v>4</v>
      </c>
      <c r="AR20" s="10">
        <v>5</v>
      </c>
      <c r="AS20" s="10">
        <v>4</v>
      </c>
      <c r="AT20" s="10">
        <f t="shared" si="2"/>
        <v>85.714285714285708</v>
      </c>
      <c r="AU20" s="10">
        <v>5</v>
      </c>
      <c r="AV20" s="10">
        <v>4</v>
      </c>
      <c r="AW20" s="10">
        <v>4</v>
      </c>
      <c r="AX20" s="10">
        <v>5</v>
      </c>
      <c r="AY20" s="10">
        <v>4</v>
      </c>
      <c r="AZ20" s="10">
        <f t="shared" si="3"/>
        <v>88</v>
      </c>
      <c r="BA20" s="11" t="s">
        <v>142</v>
      </c>
    </row>
    <row r="21" spans="1:53">
      <c r="A21" s="8">
        <v>18</v>
      </c>
      <c r="B21" s="12">
        <v>5310813</v>
      </c>
      <c r="C21" s="12" t="s">
        <v>90</v>
      </c>
      <c r="D21" s="12" t="s">
        <v>91</v>
      </c>
      <c r="E21" s="9"/>
      <c r="F21" s="8" t="s">
        <v>55</v>
      </c>
      <c r="G21" s="8" t="s">
        <v>143</v>
      </c>
      <c r="H21" s="10">
        <v>4</v>
      </c>
      <c r="I21" s="10">
        <v>4</v>
      </c>
      <c r="J21" s="10">
        <v>4</v>
      </c>
      <c r="K21" s="10">
        <v>4</v>
      </c>
      <c r="L21" s="10">
        <v>5</v>
      </c>
      <c r="M21" s="10">
        <v>4</v>
      </c>
      <c r="N21" s="10">
        <v>4</v>
      </c>
      <c r="O21" s="10">
        <v>4</v>
      </c>
      <c r="P21" s="10">
        <v>4</v>
      </c>
      <c r="Q21" s="10">
        <v>4</v>
      </c>
      <c r="R21" s="10">
        <v>4</v>
      </c>
      <c r="S21" s="10">
        <v>4</v>
      </c>
      <c r="T21" s="10">
        <v>4</v>
      </c>
      <c r="U21" s="10">
        <v>4</v>
      </c>
      <c r="V21" s="10">
        <v>4</v>
      </c>
      <c r="W21" s="10">
        <v>4</v>
      </c>
      <c r="X21" s="10">
        <v>4</v>
      </c>
      <c r="Y21" s="10">
        <v>4</v>
      </c>
      <c r="Z21" s="10">
        <v>4</v>
      </c>
      <c r="AA21" s="10">
        <v>4</v>
      </c>
      <c r="AB21" s="10">
        <v>4</v>
      </c>
      <c r="AC21" s="10">
        <v>4</v>
      </c>
      <c r="AD21" s="10">
        <v>4</v>
      </c>
      <c r="AE21" s="10">
        <v>4</v>
      </c>
      <c r="AF21" s="10">
        <v>4</v>
      </c>
      <c r="AG21" s="10">
        <v>4</v>
      </c>
      <c r="AH21" s="10">
        <v>4</v>
      </c>
      <c r="AI21" s="10">
        <v>4</v>
      </c>
      <c r="AJ21" s="10">
        <f t="shared" si="0"/>
        <v>80.740740740740748</v>
      </c>
      <c r="AK21" s="8" t="str">
        <f t="shared" si="1"/>
        <v>CLEARED</v>
      </c>
      <c r="AL21" s="10">
        <v>4</v>
      </c>
      <c r="AM21" s="10">
        <v>4</v>
      </c>
      <c r="AN21" s="10">
        <v>4</v>
      </c>
      <c r="AO21" s="10">
        <v>4</v>
      </c>
      <c r="AP21" s="10">
        <v>4</v>
      </c>
      <c r="AQ21" s="10">
        <v>4</v>
      </c>
      <c r="AR21" s="10">
        <v>4</v>
      </c>
      <c r="AS21" s="10">
        <v>4</v>
      </c>
      <c r="AT21" s="10">
        <f t="shared" si="2"/>
        <v>80</v>
      </c>
      <c r="AU21" s="10">
        <v>4</v>
      </c>
      <c r="AV21" s="10">
        <v>4</v>
      </c>
      <c r="AW21" s="10">
        <v>4</v>
      </c>
      <c r="AX21" s="10">
        <v>4</v>
      </c>
      <c r="AY21" s="10">
        <v>4</v>
      </c>
      <c r="AZ21" s="10">
        <f t="shared" si="3"/>
        <v>80</v>
      </c>
      <c r="BA21" s="11" t="s">
        <v>144</v>
      </c>
    </row>
    <row r="22" spans="1:53">
      <c r="A22" s="8">
        <v>19</v>
      </c>
      <c r="B22" s="12">
        <v>5007319</v>
      </c>
      <c r="C22" s="12" t="s">
        <v>92</v>
      </c>
      <c r="D22" s="12" t="s">
        <v>93</v>
      </c>
      <c r="E22" s="9"/>
      <c r="F22" s="8" t="s">
        <v>55</v>
      </c>
      <c r="G22" s="8" t="s">
        <v>145</v>
      </c>
      <c r="H22" s="10">
        <v>5</v>
      </c>
      <c r="I22" s="10">
        <v>4</v>
      </c>
      <c r="J22" s="10">
        <v>5</v>
      </c>
      <c r="K22" s="10">
        <v>5</v>
      </c>
      <c r="L22" s="10">
        <v>5</v>
      </c>
      <c r="M22" s="10">
        <v>5</v>
      </c>
      <c r="N22" s="10">
        <v>4</v>
      </c>
      <c r="O22" s="10">
        <v>5</v>
      </c>
      <c r="P22" s="10">
        <v>4</v>
      </c>
      <c r="Q22" s="10">
        <v>5</v>
      </c>
      <c r="R22" s="10">
        <v>4</v>
      </c>
      <c r="S22" s="10">
        <v>4</v>
      </c>
      <c r="T22" s="10">
        <v>5</v>
      </c>
      <c r="U22" s="10">
        <v>4</v>
      </c>
      <c r="V22" s="10">
        <v>5</v>
      </c>
      <c r="W22" s="10">
        <v>5</v>
      </c>
      <c r="X22" s="10">
        <v>5</v>
      </c>
      <c r="Y22" s="10">
        <v>4</v>
      </c>
      <c r="Z22" s="10">
        <v>4</v>
      </c>
      <c r="AA22" s="10">
        <v>5</v>
      </c>
      <c r="AB22" s="10">
        <v>4</v>
      </c>
      <c r="AC22" s="10">
        <v>5</v>
      </c>
      <c r="AD22" s="10">
        <v>5</v>
      </c>
      <c r="AE22" s="10">
        <v>4</v>
      </c>
      <c r="AF22" s="10">
        <v>4</v>
      </c>
      <c r="AG22" s="10">
        <v>5</v>
      </c>
      <c r="AH22" s="10">
        <v>5</v>
      </c>
      <c r="AI22" s="10">
        <v>4</v>
      </c>
      <c r="AJ22" s="10">
        <f t="shared" si="0"/>
        <v>91.851851851851848</v>
      </c>
      <c r="AK22" s="8" t="str">
        <f t="shared" si="1"/>
        <v>CLEARED</v>
      </c>
      <c r="AL22" s="10">
        <v>5</v>
      </c>
      <c r="AM22" s="10">
        <v>5</v>
      </c>
      <c r="AN22" s="10">
        <v>4</v>
      </c>
      <c r="AO22" s="10">
        <v>5</v>
      </c>
      <c r="AP22" s="10">
        <v>5</v>
      </c>
      <c r="AQ22" s="10">
        <v>4</v>
      </c>
      <c r="AR22" s="10">
        <v>5</v>
      </c>
      <c r="AS22" s="10">
        <v>4</v>
      </c>
      <c r="AT22" s="10">
        <f t="shared" si="2"/>
        <v>94.285714285714292</v>
      </c>
      <c r="AU22" s="10">
        <v>5</v>
      </c>
      <c r="AV22" s="10">
        <v>4</v>
      </c>
      <c r="AW22" s="10">
        <v>5</v>
      </c>
      <c r="AX22" s="10">
        <v>5</v>
      </c>
      <c r="AY22" s="10">
        <v>4</v>
      </c>
      <c r="AZ22" s="10">
        <f t="shared" si="3"/>
        <v>92</v>
      </c>
      <c r="BA22" s="11" t="s">
        <v>146</v>
      </c>
    </row>
    <row r="23" spans="1:53">
      <c r="A23" s="8">
        <v>20</v>
      </c>
      <c r="B23" s="12">
        <v>5216349</v>
      </c>
      <c r="C23" s="12" t="s">
        <v>94</v>
      </c>
      <c r="D23" s="12" t="s">
        <v>95</v>
      </c>
      <c r="E23" s="9"/>
      <c r="F23" s="8" t="s">
        <v>55</v>
      </c>
      <c r="G23" s="8" t="s">
        <v>133</v>
      </c>
      <c r="H23" s="10">
        <v>5</v>
      </c>
      <c r="I23" s="10">
        <v>4</v>
      </c>
      <c r="J23" s="10">
        <v>5</v>
      </c>
      <c r="K23" s="10">
        <v>4</v>
      </c>
      <c r="L23" s="10">
        <v>5</v>
      </c>
      <c r="M23" s="10">
        <v>4</v>
      </c>
      <c r="N23" s="10">
        <v>4</v>
      </c>
      <c r="O23" s="10">
        <v>5</v>
      </c>
      <c r="P23" s="10">
        <v>4</v>
      </c>
      <c r="Q23" s="10">
        <v>5</v>
      </c>
      <c r="R23" s="10">
        <v>4</v>
      </c>
      <c r="S23" s="10">
        <v>5</v>
      </c>
      <c r="T23" s="10">
        <v>5</v>
      </c>
      <c r="U23" s="10">
        <v>4</v>
      </c>
      <c r="V23" s="10">
        <v>5</v>
      </c>
      <c r="W23" s="10">
        <v>5</v>
      </c>
      <c r="X23" s="10">
        <v>5</v>
      </c>
      <c r="Y23" s="10">
        <v>4</v>
      </c>
      <c r="Z23" s="10">
        <v>4</v>
      </c>
      <c r="AA23" s="10">
        <v>5</v>
      </c>
      <c r="AB23" s="10">
        <v>4</v>
      </c>
      <c r="AC23" s="10">
        <v>5</v>
      </c>
      <c r="AD23" s="10">
        <v>5</v>
      </c>
      <c r="AE23" s="10">
        <v>4</v>
      </c>
      <c r="AF23" s="10">
        <v>4</v>
      </c>
      <c r="AG23" s="10">
        <v>4</v>
      </c>
      <c r="AH23" s="10">
        <v>5</v>
      </c>
      <c r="AI23" s="10">
        <v>5</v>
      </c>
      <c r="AJ23" s="10">
        <f t="shared" si="0"/>
        <v>90.370370370370367</v>
      </c>
      <c r="AK23" s="8" t="str">
        <f t="shared" si="1"/>
        <v>CLEARED</v>
      </c>
      <c r="AL23" s="10">
        <v>4</v>
      </c>
      <c r="AM23" s="10">
        <v>5</v>
      </c>
      <c r="AN23" s="10">
        <v>4</v>
      </c>
      <c r="AO23" s="10">
        <v>5</v>
      </c>
      <c r="AP23" s="10">
        <v>5</v>
      </c>
      <c r="AQ23" s="10">
        <v>4</v>
      </c>
      <c r="AR23" s="10">
        <v>5</v>
      </c>
      <c r="AS23" s="10">
        <v>4</v>
      </c>
      <c r="AT23" s="10">
        <f t="shared" si="2"/>
        <v>91.428571428571416</v>
      </c>
      <c r="AU23" s="10">
        <v>5</v>
      </c>
      <c r="AV23" s="10">
        <v>4</v>
      </c>
      <c r="AW23" s="10">
        <v>5</v>
      </c>
      <c r="AX23" s="10">
        <v>5</v>
      </c>
      <c r="AY23" s="10">
        <v>5</v>
      </c>
      <c r="AZ23" s="10">
        <f t="shared" si="3"/>
        <v>96</v>
      </c>
      <c r="BA23" s="11" t="s">
        <v>147</v>
      </c>
    </row>
    <row r="24" spans="1:53">
      <c r="A24" s="8">
        <v>21</v>
      </c>
      <c r="B24" s="12">
        <v>5006527</v>
      </c>
      <c r="C24" s="12" t="s">
        <v>96</v>
      </c>
      <c r="D24" s="12" t="s">
        <v>97</v>
      </c>
      <c r="E24" s="9"/>
      <c r="F24" s="8" t="s">
        <v>55</v>
      </c>
      <c r="G24" s="8" t="s">
        <v>148</v>
      </c>
      <c r="H24" s="10">
        <v>5</v>
      </c>
      <c r="I24" s="10">
        <v>4</v>
      </c>
      <c r="J24" s="10">
        <v>4</v>
      </c>
      <c r="K24" s="10">
        <v>4</v>
      </c>
      <c r="L24" s="10">
        <v>5</v>
      </c>
      <c r="M24" s="10">
        <v>5</v>
      </c>
      <c r="N24" s="10">
        <v>4</v>
      </c>
      <c r="O24" s="10">
        <v>5</v>
      </c>
      <c r="P24" s="10">
        <v>4</v>
      </c>
      <c r="Q24" s="10">
        <v>5</v>
      </c>
      <c r="R24" s="10">
        <v>4</v>
      </c>
      <c r="S24" s="10">
        <v>5</v>
      </c>
      <c r="T24" s="10">
        <v>5</v>
      </c>
      <c r="U24" s="10">
        <v>4</v>
      </c>
      <c r="V24" s="10">
        <v>5</v>
      </c>
      <c r="W24" s="10">
        <v>5</v>
      </c>
      <c r="X24" s="10">
        <v>5</v>
      </c>
      <c r="Y24" s="10">
        <v>5</v>
      </c>
      <c r="Z24" s="10">
        <v>4</v>
      </c>
      <c r="AA24" s="10">
        <v>5</v>
      </c>
      <c r="AB24" s="10">
        <v>4</v>
      </c>
      <c r="AC24" s="10">
        <v>5</v>
      </c>
      <c r="AD24" s="10">
        <v>5</v>
      </c>
      <c r="AE24" s="10">
        <v>4</v>
      </c>
      <c r="AF24" s="10">
        <v>4</v>
      </c>
      <c r="AG24" s="10">
        <v>4</v>
      </c>
      <c r="AH24" s="10">
        <v>5</v>
      </c>
      <c r="AI24" s="10">
        <v>4</v>
      </c>
      <c r="AJ24" s="10">
        <f t="shared" si="0"/>
        <v>91.111111111111114</v>
      </c>
      <c r="AK24" s="8" t="str">
        <f t="shared" si="1"/>
        <v>CLEARED</v>
      </c>
      <c r="AL24" s="10">
        <v>4</v>
      </c>
      <c r="AM24" s="10">
        <v>5</v>
      </c>
      <c r="AN24" s="10">
        <v>4</v>
      </c>
      <c r="AO24" s="10">
        <v>4</v>
      </c>
      <c r="AP24" s="10">
        <v>4</v>
      </c>
      <c r="AQ24" s="10">
        <v>5</v>
      </c>
      <c r="AR24" s="10">
        <v>5</v>
      </c>
      <c r="AS24" s="10">
        <v>4</v>
      </c>
      <c r="AT24" s="10">
        <f t="shared" si="2"/>
        <v>88.571428571428584</v>
      </c>
      <c r="AU24" s="10">
        <v>5</v>
      </c>
      <c r="AV24" s="10">
        <v>4</v>
      </c>
      <c r="AW24" s="10">
        <v>4</v>
      </c>
      <c r="AX24" s="10">
        <v>4</v>
      </c>
      <c r="AY24" s="10">
        <v>5</v>
      </c>
      <c r="AZ24" s="10">
        <f t="shared" si="3"/>
        <v>88</v>
      </c>
      <c r="BA24" s="11" t="s">
        <v>149</v>
      </c>
    </row>
    <row r="25" spans="1:53">
      <c r="A25" s="8">
        <v>22</v>
      </c>
      <c r="B25" s="12">
        <v>5020132</v>
      </c>
      <c r="C25" s="12" t="s">
        <v>98</v>
      </c>
      <c r="D25" s="12" t="s">
        <v>99</v>
      </c>
      <c r="E25" s="9"/>
      <c r="F25" s="8" t="s">
        <v>55</v>
      </c>
      <c r="G25" s="8" t="s">
        <v>135</v>
      </c>
      <c r="H25" s="10">
        <v>5</v>
      </c>
      <c r="I25" s="10">
        <v>4</v>
      </c>
      <c r="J25" s="10">
        <v>4</v>
      </c>
      <c r="K25" s="10">
        <v>4</v>
      </c>
      <c r="L25" s="10">
        <v>5</v>
      </c>
      <c r="M25" s="10">
        <v>5</v>
      </c>
      <c r="N25" s="10">
        <v>4</v>
      </c>
      <c r="O25" s="10">
        <v>5</v>
      </c>
      <c r="P25" s="10">
        <v>4</v>
      </c>
      <c r="Q25" s="10">
        <v>5</v>
      </c>
      <c r="R25" s="10">
        <v>4</v>
      </c>
      <c r="S25" s="10">
        <v>4</v>
      </c>
      <c r="T25" s="10">
        <v>5</v>
      </c>
      <c r="U25" s="10">
        <v>4</v>
      </c>
      <c r="V25" s="10">
        <v>5</v>
      </c>
      <c r="W25" s="10">
        <v>5</v>
      </c>
      <c r="X25" s="10">
        <v>5</v>
      </c>
      <c r="Y25" s="10">
        <v>4</v>
      </c>
      <c r="Z25" s="10">
        <v>4</v>
      </c>
      <c r="AA25" s="10">
        <v>5</v>
      </c>
      <c r="AB25" s="10">
        <v>4</v>
      </c>
      <c r="AC25" s="10">
        <v>5</v>
      </c>
      <c r="AD25" s="10">
        <v>5</v>
      </c>
      <c r="AE25" s="10">
        <v>4</v>
      </c>
      <c r="AF25" s="10">
        <v>4</v>
      </c>
      <c r="AG25" s="10">
        <v>4</v>
      </c>
      <c r="AH25" s="10">
        <v>5</v>
      </c>
      <c r="AI25" s="10">
        <v>4</v>
      </c>
      <c r="AJ25" s="10">
        <f t="shared" si="0"/>
        <v>89.629629629629633</v>
      </c>
      <c r="AK25" s="8" t="str">
        <f t="shared" si="1"/>
        <v>CLEARED</v>
      </c>
      <c r="AL25" s="10">
        <v>4</v>
      </c>
      <c r="AM25" s="10">
        <v>5</v>
      </c>
      <c r="AN25" s="10">
        <v>4</v>
      </c>
      <c r="AO25" s="10">
        <v>4</v>
      </c>
      <c r="AP25" s="10">
        <v>5</v>
      </c>
      <c r="AQ25" s="10">
        <v>4</v>
      </c>
      <c r="AR25" s="10">
        <v>5</v>
      </c>
      <c r="AS25" s="10">
        <v>4</v>
      </c>
      <c r="AT25" s="10">
        <f t="shared" si="2"/>
        <v>88.571428571428584</v>
      </c>
      <c r="AU25" s="10">
        <v>5</v>
      </c>
      <c r="AV25" s="10">
        <v>4</v>
      </c>
      <c r="AW25" s="10">
        <v>5</v>
      </c>
      <c r="AX25" s="10">
        <v>5</v>
      </c>
      <c r="AY25" s="10">
        <v>4</v>
      </c>
      <c r="AZ25" s="10">
        <f t="shared" si="3"/>
        <v>92</v>
      </c>
      <c r="BA25" s="11" t="s">
        <v>150</v>
      </c>
    </row>
    <row r="26" spans="1:53">
      <c r="A26" s="8">
        <v>23</v>
      </c>
      <c r="B26" s="12">
        <v>5187319</v>
      </c>
      <c r="C26" s="12" t="s">
        <v>100</v>
      </c>
      <c r="D26" s="12" t="s">
        <v>101</v>
      </c>
      <c r="E26" s="9"/>
      <c r="F26" s="8" t="s">
        <v>55</v>
      </c>
      <c r="G26" s="8" t="s">
        <v>123</v>
      </c>
      <c r="H26" s="10">
        <v>5</v>
      </c>
      <c r="I26" s="10">
        <v>4</v>
      </c>
      <c r="J26" s="10">
        <v>4</v>
      </c>
      <c r="K26" s="10">
        <v>4</v>
      </c>
      <c r="L26" s="10">
        <v>5</v>
      </c>
      <c r="M26" s="10">
        <v>4</v>
      </c>
      <c r="N26" s="10">
        <v>4</v>
      </c>
      <c r="O26" s="10">
        <v>5</v>
      </c>
      <c r="P26" s="10">
        <v>4</v>
      </c>
      <c r="Q26" s="10">
        <v>5</v>
      </c>
      <c r="R26" s="10">
        <v>4</v>
      </c>
      <c r="S26" s="10">
        <v>4</v>
      </c>
      <c r="T26" s="10">
        <v>5</v>
      </c>
      <c r="U26" s="10">
        <v>4</v>
      </c>
      <c r="V26" s="10">
        <v>5</v>
      </c>
      <c r="W26" s="10">
        <v>5</v>
      </c>
      <c r="X26" s="10">
        <v>5</v>
      </c>
      <c r="Y26" s="10">
        <v>4</v>
      </c>
      <c r="Z26" s="10">
        <v>4</v>
      </c>
      <c r="AA26" s="10">
        <v>5</v>
      </c>
      <c r="AB26" s="10">
        <v>4</v>
      </c>
      <c r="AC26" s="10">
        <v>5</v>
      </c>
      <c r="AD26" s="10">
        <v>5</v>
      </c>
      <c r="AE26" s="10">
        <v>4</v>
      </c>
      <c r="AF26" s="10">
        <v>5</v>
      </c>
      <c r="AG26" s="10">
        <v>5</v>
      </c>
      <c r="AH26" s="10">
        <v>5</v>
      </c>
      <c r="AI26" s="10">
        <v>4</v>
      </c>
      <c r="AJ26" s="10">
        <f t="shared" si="0"/>
        <v>90.370370370370367</v>
      </c>
      <c r="AK26" s="8" t="str">
        <f t="shared" si="1"/>
        <v>CLEARED</v>
      </c>
      <c r="AL26" s="10">
        <v>4</v>
      </c>
      <c r="AM26" s="10">
        <v>5</v>
      </c>
      <c r="AN26" s="10">
        <v>4</v>
      </c>
      <c r="AO26" s="10">
        <v>5</v>
      </c>
      <c r="AP26" s="10">
        <v>5</v>
      </c>
      <c r="AQ26" s="10">
        <v>4</v>
      </c>
      <c r="AR26" s="10">
        <v>5</v>
      </c>
      <c r="AS26" s="10">
        <v>4</v>
      </c>
      <c r="AT26" s="10">
        <f t="shared" si="2"/>
        <v>91.428571428571416</v>
      </c>
      <c r="AU26" s="10">
        <v>5</v>
      </c>
      <c r="AV26" s="10">
        <v>4</v>
      </c>
      <c r="AW26" s="10">
        <v>4</v>
      </c>
      <c r="AX26" s="10">
        <v>5</v>
      </c>
      <c r="AY26" s="10">
        <v>4</v>
      </c>
      <c r="AZ26" s="10">
        <f t="shared" si="3"/>
        <v>88</v>
      </c>
      <c r="BA26" s="11" t="s">
        <v>151</v>
      </c>
    </row>
    <row r="27" spans="1:53">
      <c r="A27" s="8">
        <v>24</v>
      </c>
      <c r="B27" s="12">
        <v>5283664</v>
      </c>
      <c r="C27" s="12" t="s">
        <v>102</v>
      </c>
      <c r="D27" s="12" t="s">
        <v>103</v>
      </c>
      <c r="E27" s="9"/>
      <c r="F27" s="8" t="s">
        <v>55</v>
      </c>
      <c r="G27" s="8" t="s">
        <v>138</v>
      </c>
      <c r="H27" s="10">
        <v>5</v>
      </c>
      <c r="I27" s="10">
        <v>4</v>
      </c>
      <c r="J27" s="10">
        <v>4</v>
      </c>
      <c r="K27" s="10">
        <v>4</v>
      </c>
      <c r="L27" s="10">
        <v>5</v>
      </c>
      <c r="M27" s="10">
        <v>4</v>
      </c>
      <c r="N27" s="10">
        <v>4</v>
      </c>
      <c r="O27" s="10">
        <v>5</v>
      </c>
      <c r="P27" s="10">
        <v>4</v>
      </c>
      <c r="Q27" s="10">
        <v>5</v>
      </c>
      <c r="R27" s="10">
        <v>4</v>
      </c>
      <c r="S27" s="10">
        <v>4</v>
      </c>
      <c r="T27" s="10">
        <v>5</v>
      </c>
      <c r="U27" s="10">
        <v>4</v>
      </c>
      <c r="V27" s="10">
        <v>5</v>
      </c>
      <c r="W27" s="10">
        <v>5</v>
      </c>
      <c r="X27" s="10">
        <v>5</v>
      </c>
      <c r="Y27" s="10">
        <v>4</v>
      </c>
      <c r="Z27" s="10">
        <v>4</v>
      </c>
      <c r="AA27" s="10">
        <v>5</v>
      </c>
      <c r="AB27" s="10">
        <v>4</v>
      </c>
      <c r="AC27" s="10">
        <v>5</v>
      </c>
      <c r="AD27" s="10">
        <v>5</v>
      </c>
      <c r="AE27" s="10">
        <v>4</v>
      </c>
      <c r="AF27" s="10">
        <v>4</v>
      </c>
      <c r="AG27" s="10">
        <v>4</v>
      </c>
      <c r="AH27" s="10">
        <v>5</v>
      </c>
      <c r="AI27" s="10">
        <v>4</v>
      </c>
      <c r="AJ27" s="10">
        <f t="shared" si="0"/>
        <v>88.888888888888886</v>
      </c>
      <c r="AK27" s="8" t="str">
        <f t="shared" si="1"/>
        <v>CLEARED</v>
      </c>
      <c r="AL27" s="10">
        <v>4</v>
      </c>
      <c r="AM27" s="10">
        <v>5</v>
      </c>
      <c r="AN27" s="10">
        <v>4</v>
      </c>
      <c r="AO27" s="10">
        <v>4</v>
      </c>
      <c r="AP27" s="10">
        <v>5</v>
      </c>
      <c r="AQ27" s="10">
        <v>5</v>
      </c>
      <c r="AR27" s="10">
        <v>4</v>
      </c>
      <c r="AS27" s="10">
        <v>4</v>
      </c>
      <c r="AT27" s="10">
        <f t="shared" si="2"/>
        <v>88.571428571428584</v>
      </c>
      <c r="AU27" s="10">
        <v>4</v>
      </c>
      <c r="AV27" s="10">
        <v>4</v>
      </c>
      <c r="AW27" s="10">
        <v>5</v>
      </c>
      <c r="AX27" s="10">
        <v>5</v>
      </c>
      <c r="AY27" s="10">
        <v>4</v>
      </c>
      <c r="AZ27" s="10">
        <f t="shared" si="3"/>
        <v>88</v>
      </c>
      <c r="BA27" s="11" t="s">
        <v>152</v>
      </c>
    </row>
    <row r="28" spans="1:53">
      <c r="A28" s="8">
        <v>25</v>
      </c>
      <c r="B28" s="12">
        <v>5347470</v>
      </c>
      <c r="C28" s="12" t="s">
        <v>104</v>
      </c>
      <c r="D28" s="12" t="s">
        <v>105</v>
      </c>
      <c r="E28" s="9"/>
      <c r="F28" s="8" t="s">
        <v>55</v>
      </c>
      <c r="G28" s="8" t="s">
        <v>127</v>
      </c>
      <c r="H28" s="10">
        <v>5</v>
      </c>
      <c r="I28" s="10">
        <v>4</v>
      </c>
      <c r="J28" s="10">
        <v>4</v>
      </c>
      <c r="K28" s="10">
        <v>4</v>
      </c>
      <c r="L28" s="10">
        <v>5</v>
      </c>
      <c r="M28" s="10">
        <v>4</v>
      </c>
      <c r="N28" s="10">
        <v>4</v>
      </c>
      <c r="O28" s="10">
        <v>5</v>
      </c>
      <c r="P28" s="10">
        <v>5</v>
      </c>
      <c r="Q28" s="10">
        <v>5</v>
      </c>
      <c r="R28" s="10">
        <v>4</v>
      </c>
      <c r="S28" s="10">
        <v>4</v>
      </c>
      <c r="T28" s="10">
        <v>5</v>
      </c>
      <c r="U28" s="10">
        <v>5</v>
      </c>
      <c r="V28" s="10">
        <v>5</v>
      </c>
      <c r="W28" s="10">
        <v>5</v>
      </c>
      <c r="X28" s="10">
        <v>5</v>
      </c>
      <c r="Y28" s="10">
        <v>4</v>
      </c>
      <c r="Z28" s="10">
        <v>4</v>
      </c>
      <c r="AA28" s="10">
        <v>5</v>
      </c>
      <c r="AB28" s="10">
        <v>4</v>
      </c>
      <c r="AC28" s="10">
        <v>5</v>
      </c>
      <c r="AD28" s="10">
        <v>5</v>
      </c>
      <c r="AE28" s="10">
        <v>4</v>
      </c>
      <c r="AF28" s="10">
        <v>4</v>
      </c>
      <c r="AG28" s="10">
        <v>4</v>
      </c>
      <c r="AH28" s="10">
        <v>5</v>
      </c>
      <c r="AI28" s="10">
        <v>4</v>
      </c>
      <c r="AJ28" s="10">
        <f t="shared" si="0"/>
        <v>90.370370370370367</v>
      </c>
      <c r="AK28" s="8" t="str">
        <f t="shared" si="1"/>
        <v>CLEARED</v>
      </c>
      <c r="AL28" s="10">
        <v>4</v>
      </c>
      <c r="AM28" s="10">
        <v>5</v>
      </c>
      <c r="AN28" s="10">
        <v>5</v>
      </c>
      <c r="AO28" s="10">
        <v>4</v>
      </c>
      <c r="AP28" s="10">
        <v>5</v>
      </c>
      <c r="AQ28" s="10">
        <v>4</v>
      </c>
      <c r="AR28" s="10">
        <v>5</v>
      </c>
      <c r="AS28" s="10">
        <v>4</v>
      </c>
      <c r="AT28" s="10">
        <f t="shared" si="2"/>
        <v>91.428571428571416</v>
      </c>
      <c r="AU28" s="10">
        <v>5</v>
      </c>
      <c r="AV28" s="10">
        <v>4</v>
      </c>
      <c r="AW28" s="10">
        <v>5</v>
      </c>
      <c r="AX28" s="10">
        <v>4</v>
      </c>
      <c r="AY28" s="10">
        <v>4</v>
      </c>
      <c r="AZ28" s="10">
        <f t="shared" si="3"/>
        <v>88</v>
      </c>
      <c r="BA28" s="11" t="s">
        <v>153</v>
      </c>
    </row>
    <row r="29" spans="1:53">
      <c r="A29" s="8">
        <v>26</v>
      </c>
      <c r="B29" s="12">
        <v>5198128</v>
      </c>
      <c r="C29" s="12" t="s">
        <v>106</v>
      </c>
      <c r="D29" s="12" t="s">
        <v>107</v>
      </c>
      <c r="E29" s="9"/>
      <c r="F29" s="8" t="s">
        <v>55</v>
      </c>
      <c r="G29" s="8" t="s">
        <v>154</v>
      </c>
      <c r="H29" s="10">
        <v>5</v>
      </c>
      <c r="I29" s="10">
        <v>4</v>
      </c>
      <c r="J29" s="10">
        <v>4</v>
      </c>
      <c r="K29" s="10">
        <v>4</v>
      </c>
      <c r="L29" s="10">
        <v>5</v>
      </c>
      <c r="M29" s="10">
        <v>4</v>
      </c>
      <c r="N29" s="10">
        <v>4</v>
      </c>
      <c r="O29" s="10">
        <v>5</v>
      </c>
      <c r="P29" s="10">
        <v>4</v>
      </c>
      <c r="Q29" s="10">
        <v>5</v>
      </c>
      <c r="R29" s="10">
        <v>4</v>
      </c>
      <c r="S29" s="10">
        <v>4</v>
      </c>
      <c r="T29" s="10">
        <v>5</v>
      </c>
      <c r="U29" s="10">
        <v>4</v>
      </c>
      <c r="V29" s="10">
        <v>5</v>
      </c>
      <c r="W29" s="10">
        <v>5</v>
      </c>
      <c r="X29" s="10">
        <v>5</v>
      </c>
      <c r="Y29" s="10">
        <v>4</v>
      </c>
      <c r="Z29" s="10">
        <v>4</v>
      </c>
      <c r="AA29" s="10">
        <v>5</v>
      </c>
      <c r="AB29" s="10">
        <v>4</v>
      </c>
      <c r="AC29" s="10">
        <v>5</v>
      </c>
      <c r="AD29" s="10">
        <v>5</v>
      </c>
      <c r="AE29" s="10">
        <v>4</v>
      </c>
      <c r="AF29" s="10">
        <v>4</v>
      </c>
      <c r="AG29" s="10">
        <v>4</v>
      </c>
      <c r="AH29" s="10">
        <v>5</v>
      </c>
      <c r="AI29" s="10">
        <v>4</v>
      </c>
      <c r="AJ29" s="10">
        <f t="shared" si="0"/>
        <v>88.888888888888886</v>
      </c>
      <c r="AK29" s="8" t="str">
        <f t="shared" si="1"/>
        <v>CLEARED</v>
      </c>
      <c r="AL29" s="10">
        <v>4</v>
      </c>
      <c r="AM29" s="10">
        <v>5</v>
      </c>
      <c r="AN29" s="10">
        <v>4</v>
      </c>
      <c r="AO29" s="10">
        <v>4</v>
      </c>
      <c r="AP29" s="10">
        <v>5</v>
      </c>
      <c r="AQ29" s="10">
        <v>4</v>
      </c>
      <c r="AR29" s="10">
        <v>5</v>
      </c>
      <c r="AS29" s="10">
        <v>4</v>
      </c>
      <c r="AT29" s="10">
        <f t="shared" si="2"/>
        <v>88.571428571428584</v>
      </c>
      <c r="AU29" s="10">
        <v>5</v>
      </c>
      <c r="AV29" s="10">
        <v>4</v>
      </c>
      <c r="AW29" s="10">
        <v>5</v>
      </c>
      <c r="AX29" s="10">
        <v>4</v>
      </c>
      <c r="AY29" s="10">
        <v>4</v>
      </c>
      <c r="AZ29" s="10">
        <f t="shared" si="3"/>
        <v>88</v>
      </c>
      <c r="BA29" s="11" t="s">
        <v>137</v>
      </c>
    </row>
    <row r="30" spans="1:53">
      <c r="A30" s="8">
        <v>27</v>
      </c>
      <c r="B30" s="12">
        <v>5350089</v>
      </c>
      <c r="C30" s="12" t="s">
        <v>108</v>
      </c>
      <c r="D30" s="12" t="s">
        <v>109</v>
      </c>
      <c r="E30" s="9"/>
      <c r="F30" s="8" t="s">
        <v>55</v>
      </c>
      <c r="G30" s="8" t="s">
        <v>140</v>
      </c>
      <c r="H30" s="10">
        <v>5</v>
      </c>
      <c r="I30" s="10">
        <v>4</v>
      </c>
      <c r="J30" s="10">
        <v>4</v>
      </c>
      <c r="K30" s="10">
        <v>4</v>
      </c>
      <c r="L30" s="10">
        <v>5</v>
      </c>
      <c r="M30" s="10">
        <v>4</v>
      </c>
      <c r="N30" s="10">
        <v>4</v>
      </c>
      <c r="O30" s="10">
        <v>4</v>
      </c>
      <c r="P30" s="10">
        <v>4</v>
      </c>
      <c r="Q30" s="10">
        <v>4</v>
      </c>
      <c r="R30" s="10">
        <v>4</v>
      </c>
      <c r="S30" s="10">
        <v>4</v>
      </c>
      <c r="T30" s="10">
        <v>5</v>
      </c>
      <c r="U30" s="10">
        <v>4</v>
      </c>
      <c r="V30" s="10">
        <v>5</v>
      </c>
      <c r="W30" s="10">
        <v>5</v>
      </c>
      <c r="X30" s="10">
        <v>5</v>
      </c>
      <c r="Y30" s="10">
        <v>4</v>
      </c>
      <c r="Z30" s="10">
        <v>4</v>
      </c>
      <c r="AA30" s="10">
        <v>5</v>
      </c>
      <c r="AB30" s="10">
        <v>4</v>
      </c>
      <c r="AC30" s="10">
        <v>5</v>
      </c>
      <c r="AD30" s="10">
        <v>5</v>
      </c>
      <c r="AE30" s="10">
        <v>4</v>
      </c>
      <c r="AF30" s="10">
        <v>4</v>
      </c>
      <c r="AG30" s="10">
        <v>4</v>
      </c>
      <c r="AH30" s="10">
        <v>5</v>
      </c>
      <c r="AI30" s="10">
        <v>4</v>
      </c>
      <c r="AJ30" s="10">
        <f t="shared" si="0"/>
        <v>87.407407407407405</v>
      </c>
      <c r="AK30" s="8" t="str">
        <f t="shared" si="1"/>
        <v>CLEARED</v>
      </c>
      <c r="AL30" s="10">
        <v>4</v>
      </c>
      <c r="AM30" s="10">
        <v>4</v>
      </c>
      <c r="AN30" s="10">
        <v>4</v>
      </c>
      <c r="AO30" s="10">
        <v>4</v>
      </c>
      <c r="AP30" s="10">
        <v>5</v>
      </c>
      <c r="AQ30" s="10">
        <v>4</v>
      </c>
      <c r="AR30" s="10">
        <v>5</v>
      </c>
      <c r="AS30" s="10">
        <v>4</v>
      </c>
      <c r="AT30" s="10">
        <f t="shared" si="2"/>
        <v>85.714285714285708</v>
      </c>
      <c r="AU30" s="10">
        <v>5</v>
      </c>
      <c r="AV30" s="10">
        <v>4</v>
      </c>
      <c r="AW30" s="10">
        <v>5</v>
      </c>
      <c r="AX30" s="10">
        <v>5</v>
      </c>
      <c r="AY30" s="10">
        <v>4</v>
      </c>
      <c r="AZ30" s="10">
        <f t="shared" si="3"/>
        <v>92</v>
      </c>
      <c r="BA30" s="11" t="s">
        <v>155</v>
      </c>
    </row>
    <row r="31" spans="1:53">
      <c r="A31" s="8">
        <v>28</v>
      </c>
      <c r="B31" s="12">
        <v>5318005</v>
      </c>
      <c r="C31" s="12" t="s">
        <v>110</v>
      </c>
      <c r="D31" s="12" t="s">
        <v>111</v>
      </c>
      <c r="E31" s="9"/>
      <c r="F31" s="8" t="s">
        <v>55</v>
      </c>
      <c r="G31" s="8" t="s">
        <v>129</v>
      </c>
      <c r="H31" s="10">
        <v>5</v>
      </c>
      <c r="I31" s="10">
        <v>4</v>
      </c>
      <c r="J31" s="10">
        <v>4</v>
      </c>
      <c r="K31" s="10">
        <v>4</v>
      </c>
      <c r="L31" s="10">
        <v>5</v>
      </c>
      <c r="M31" s="10">
        <v>4</v>
      </c>
      <c r="N31" s="10">
        <v>4</v>
      </c>
      <c r="O31" s="10">
        <v>5</v>
      </c>
      <c r="P31" s="10">
        <v>4</v>
      </c>
      <c r="Q31" s="10">
        <v>5</v>
      </c>
      <c r="R31" s="10">
        <v>4</v>
      </c>
      <c r="S31" s="10">
        <v>4</v>
      </c>
      <c r="T31" s="10">
        <v>5</v>
      </c>
      <c r="U31" s="10">
        <v>4</v>
      </c>
      <c r="V31" s="10">
        <v>5</v>
      </c>
      <c r="W31" s="10">
        <v>5</v>
      </c>
      <c r="X31" s="10">
        <v>5</v>
      </c>
      <c r="Y31" s="10">
        <v>4</v>
      </c>
      <c r="Z31" s="10">
        <v>4</v>
      </c>
      <c r="AA31" s="10">
        <v>5</v>
      </c>
      <c r="AB31" s="10">
        <v>4</v>
      </c>
      <c r="AC31" s="10">
        <v>5</v>
      </c>
      <c r="AD31" s="10">
        <v>5</v>
      </c>
      <c r="AE31" s="10">
        <v>4</v>
      </c>
      <c r="AF31" s="10">
        <v>4</v>
      </c>
      <c r="AG31" s="10">
        <v>4</v>
      </c>
      <c r="AH31" s="10">
        <v>5</v>
      </c>
      <c r="AI31" s="10">
        <v>4</v>
      </c>
      <c r="AJ31" s="10">
        <f t="shared" si="0"/>
        <v>88.888888888888886</v>
      </c>
      <c r="AK31" s="8" t="str">
        <f t="shared" si="1"/>
        <v>CLEARED</v>
      </c>
      <c r="AL31" s="10">
        <v>4</v>
      </c>
      <c r="AM31" s="10">
        <v>5</v>
      </c>
      <c r="AN31" s="10">
        <v>4</v>
      </c>
      <c r="AO31" s="10">
        <v>4</v>
      </c>
      <c r="AP31" s="10">
        <v>5</v>
      </c>
      <c r="AQ31" s="10">
        <v>4</v>
      </c>
      <c r="AR31" s="10">
        <v>5</v>
      </c>
      <c r="AS31" s="10">
        <v>4</v>
      </c>
      <c r="AT31" s="10">
        <f t="shared" si="2"/>
        <v>88.571428571428584</v>
      </c>
      <c r="AU31" s="10">
        <v>5</v>
      </c>
      <c r="AV31" s="10">
        <v>4</v>
      </c>
      <c r="AW31" s="10">
        <v>4</v>
      </c>
      <c r="AX31" s="10">
        <v>4</v>
      </c>
      <c r="AY31" s="10">
        <v>4</v>
      </c>
      <c r="AZ31" s="10">
        <f t="shared" si="3"/>
        <v>84</v>
      </c>
      <c r="BA31" s="11" t="s">
        <v>156</v>
      </c>
    </row>
    <row r="32" spans="1:53">
      <c r="A32" s="8">
        <v>29</v>
      </c>
      <c r="B32" s="12">
        <v>5347455</v>
      </c>
      <c r="C32" s="12" t="s">
        <v>112</v>
      </c>
      <c r="D32" s="12" t="s">
        <v>113</v>
      </c>
      <c r="E32" s="9"/>
      <c r="F32" s="8" t="s">
        <v>55</v>
      </c>
      <c r="G32" s="8" t="s">
        <v>143</v>
      </c>
      <c r="H32" s="10">
        <v>4</v>
      </c>
      <c r="I32" s="10">
        <v>4</v>
      </c>
      <c r="J32" s="10">
        <v>4</v>
      </c>
      <c r="K32" s="10">
        <v>4</v>
      </c>
      <c r="L32" s="10">
        <v>4</v>
      </c>
      <c r="M32" s="10">
        <v>4</v>
      </c>
      <c r="N32" s="10">
        <v>4</v>
      </c>
      <c r="O32" s="10">
        <v>4</v>
      </c>
      <c r="P32" s="10">
        <v>4</v>
      </c>
      <c r="Q32" s="10">
        <v>4</v>
      </c>
      <c r="R32" s="10">
        <v>4</v>
      </c>
      <c r="S32" s="10">
        <v>4</v>
      </c>
      <c r="T32" s="10">
        <v>4</v>
      </c>
      <c r="U32" s="10">
        <v>4</v>
      </c>
      <c r="V32" s="10">
        <v>4</v>
      </c>
      <c r="W32" s="10">
        <v>4</v>
      </c>
      <c r="X32" s="10">
        <v>4</v>
      </c>
      <c r="Y32" s="10">
        <v>4</v>
      </c>
      <c r="Z32" s="10">
        <v>4</v>
      </c>
      <c r="AA32" s="10">
        <v>4</v>
      </c>
      <c r="AB32" s="10">
        <v>4</v>
      </c>
      <c r="AC32" s="10">
        <v>4</v>
      </c>
      <c r="AD32" s="10">
        <v>4</v>
      </c>
      <c r="AE32" s="10">
        <v>4</v>
      </c>
      <c r="AF32" s="10">
        <v>4</v>
      </c>
      <c r="AG32" s="10">
        <v>4</v>
      </c>
      <c r="AH32" s="10">
        <v>4</v>
      </c>
      <c r="AI32" s="10">
        <v>4</v>
      </c>
      <c r="AJ32" s="10">
        <f t="shared" si="0"/>
        <v>80</v>
      </c>
      <c r="AK32" s="8" t="str">
        <f t="shared" si="1"/>
        <v>CLEARED</v>
      </c>
      <c r="AL32" s="10">
        <v>4</v>
      </c>
      <c r="AM32" s="10">
        <v>4</v>
      </c>
      <c r="AN32" s="10">
        <v>4</v>
      </c>
      <c r="AO32" s="10">
        <v>3</v>
      </c>
      <c r="AP32" s="10">
        <v>4</v>
      </c>
      <c r="AQ32" s="10">
        <v>4</v>
      </c>
      <c r="AR32" s="10">
        <v>4</v>
      </c>
      <c r="AS32" s="10">
        <v>4</v>
      </c>
      <c r="AT32" s="10">
        <f t="shared" si="2"/>
        <v>77.142857142857139</v>
      </c>
      <c r="AU32" s="10">
        <v>4</v>
      </c>
      <c r="AV32" s="10">
        <v>4</v>
      </c>
      <c r="AW32" s="10">
        <v>4</v>
      </c>
      <c r="AX32" s="10">
        <v>3</v>
      </c>
      <c r="AY32" s="10">
        <v>4</v>
      </c>
      <c r="AZ32" s="10">
        <f t="shared" si="3"/>
        <v>76</v>
      </c>
      <c r="BA32" s="11" t="s">
        <v>157</v>
      </c>
    </row>
    <row r="33" spans="1:53">
      <c r="A33" s="8">
        <v>30</v>
      </c>
      <c r="B33" s="12">
        <v>5363093</v>
      </c>
      <c r="C33" s="12" t="s">
        <v>114</v>
      </c>
      <c r="D33" s="12" t="s">
        <v>115</v>
      </c>
      <c r="E33" s="9"/>
      <c r="F33" s="8" t="s">
        <v>55</v>
      </c>
      <c r="G33" s="8" t="s">
        <v>131</v>
      </c>
      <c r="H33" s="10">
        <v>4</v>
      </c>
      <c r="I33" s="10">
        <v>4</v>
      </c>
      <c r="J33" s="10">
        <v>4</v>
      </c>
      <c r="K33" s="10">
        <v>4</v>
      </c>
      <c r="L33" s="10">
        <v>5</v>
      </c>
      <c r="M33" s="10">
        <v>4</v>
      </c>
      <c r="N33" s="10">
        <v>4</v>
      </c>
      <c r="O33" s="10">
        <v>4</v>
      </c>
      <c r="P33" s="10">
        <v>4</v>
      </c>
      <c r="Q33" s="10">
        <v>5</v>
      </c>
      <c r="R33" s="10">
        <v>4</v>
      </c>
      <c r="S33" s="10">
        <v>4</v>
      </c>
      <c r="T33" s="10">
        <v>5</v>
      </c>
      <c r="U33" s="10">
        <v>4</v>
      </c>
      <c r="V33" s="10">
        <v>4</v>
      </c>
      <c r="W33" s="10">
        <v>5</v>
      </c>
      <c r="X33" s="10">
        <v>5</v>
      </c>
      <c r="Y33" s="10">
        <v>4</v>
      </c>
      <c r="Z33" s="10">
        <v>4</v>
      </c>
      <c r="AA33" s="10">
        <v>5</v>
      </c>
      <c r="AB33" s="10">
        <v>4</v>
      </c>
      <c r="AC33" s="10">
        <v>5</v>
      </c>
      <c r="AD33" s="10">
        <v>5</v>
      </c>
      <c r="AE33" s="10">
        <v>4</v>
      </c>
      <c r="AF33" s="10">
        <v>4</v>
      </c>
      <c r="AG33" s="10">
        <v>4</v>
      </c>
      <c r="AH33" s="10">
        <v>4</v>
      </c>
      <c r="AI33" s="10">
        <v>4</v>
      </c>
      <c r="AJ33" s="10">
        <f t="shared" si="0"/>
        <v>85.925925925925938</v>
      </c>
      <c r="AK33" s="8" t="str">
        <f t="shared" si="1"/>
        <v>CLEARED</v>
      </c>
      <c r="AL33" s="10">
        <v>4</v>
      </c>
      <c r="AM33" s="10">
        <v>4</v>
      </c>
      <c r="AN33" s="10">
        <v>4</v>
      </c>
      <c r="AO33" s="10">
        <v>4</v>
      </c>
      <c r="AP33" s="10">
        <v>4</v>
      </c>
      <c r="AQ33" s="10">
        <v>4</v>
      </c>
      <c r="AR33" s="10">
        <v>4</v>
      </c>
      <c r="AS33" s="10">
        <v>4</v>
      </c>
      <c r="AT33" s="10">
        <f t="shared" si="2"/>
        <v>80</v>
      </c>
      <c r="AU33" s="10">
        <v>4</v>
      </c>
      <c r="AV33" s="10">
        <v>4</v>
      </c>
      <c r="AW33" s="10">
        <v>5</v>
      </c>
      <c r="AX33" s="10">
        <v>4</v>
      </c>
      <c r="AY33" s="10">
        <v>4</v>
      </c>
      <c r="AZ33" s="10">
        <f t="shared" si="3"/>
        <v>84</v>
      </c>
      <c r="BA33" s="11" t="s">
        <v>137</v>
      </c>
    </row>
    <row r="34" spans="1:53">
      <c r="A34" s="14">
        <v>31</v>
      </c>
      <c r="B34" s="15">
        <v>4975678</v>
      </c>
      <c r="C34" s="15" t="s">
        <v>116</v>
      </c>
      <c r="D34" s="15" t="s">
        <v>117</v>
      </c>
      <c r="E34" s="16"/>
      <c r="F34" s="14" t="s">
        <v>55</v>
      </c>
      <c r="G34" s="14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8"/>
      <c r="AL34" s="17"/>
      <c r="AM34" s="17"/>
      <c r="AN34" s="17"/>
      <c r="AO34" s="17"/>
      <c r="AP34" s="17"/>
      <c r="AQ34" s="17"/>
      <c r="AR34" s="17"/>
      <c r="AS34" s="17"/>
      <c r="AT34" s="17"/>
      <c r="AU34" s="10"/>
      <c r="AV34" s="10"/>
      <c r="AW34" s="10"/>
      <c r="AX34" s="10"/>
      <c r="AY34" s="10"/>
      <c r="AZ34" s="10"/>
      <c r="BA34" s="18"/>
    </row>
  </sheetData>
  <mergeCells count="11">
    <mergeCell ref="AZ1:BA2"/>
    <mergeCell ref="A2:F2"/>
    <mergeCell ref="G2:AI2"/>
    <mergeCell ref="AL2:AS2"/>
    <mergeCell ref="AU2:AY2"/>
    <mergeCell ref="A1:F1"/>
    <mergeCell ref="G1:AI1"/>
    <mergeCell ref="AJ1:AK2"/>
    <mergeCell ref="AL1:AS1"/>
    <mergeCell ref="AT1:AT2"/>
    <mergeCell ref="AU1:AY1"/>
  </mergeCells>
  <conditionalFormatting sqref="B4:B34">
    <cfRule type="duplicateValues" dxfId="1" priority="1"/>
  </conditionalFormatting>
  <conditionalFormatting sqref="D4:D27">
    <cfRule type="duplicateValues" dxfId="0" priority="2"/>
  </conditionalFormatting>
  <dataValidations count="2">
    <dataValidation type="list" allowBlank="1" showInputMessage="1" showErrorMessage="1" sqref="AU4:AY34">
      <formula1>"Not Answered,1,2,3,4,5"</formula1>
    </dataValidation>
    <dataValidation type="list" allowBlank="1" showInputMessage="1" showErrorMessage="1" sqref="AL4:AS33 H4:AI34">
      <formula1>"Not Implemeted,1,2,3,4,5"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</dc:creator>
  <cp:lastModifiedBy>dell</cp:lastModifiedBy>
  <dcterms:created xsi:type="dcterms:W3CDTF">2025-05-29T08:40:24Z</dcterms:created>
  <dcterms:modified xsi:type="dcterms:W3CDTF">2025-07-17T08:41:19Z</dcterms:modified>
</cp:coreProperties>
</file>